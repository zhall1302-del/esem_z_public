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achHALL\Downloads\"/>
    </mc:Choice>
  </mc:AlternateContent>
  <xr:revisionPtr revIDLastSave="0" documentId="13_ncr:1_{C51C9C62-5F39-469B-8D33-01B782C37897}" xr6:coauthVersionLast="47" xr6:coauthVersionMax="47" xr10:uidLastSave="{00000000-0000-0000-0000-000000000000}"/>
  <bookViews>
    <workbookView xWindow="-28920" yWindow="-120" windowWidth="29040" windowHeight="15720" tabRatio="500" activeTab="3" xr2:uid="{00000000-000D-0000-FFFF-FFFF00000000}"/>
  </bookViews>
  <sheets>
    <sheet name="Assumptions" sheetId="1" r:id="rId1"/>
    <sheet name="Building assets" sheetId="2" r:id="rId2"/>
    <sheet name="Baseline" sheetId="3" r:id="rId3"/>
    <sheet name="Model" sheetId="4" r:id="rId4"/>
    <sheet name="Dashboard" sheetId="5" r:id="rId5"/>
    <sheet name="Checks" sheetId="6" r:id="rId6"/>
    <sheet name="Charts" sheetId="7" r:id="rId7"/>
    <sheet name="Model Guide" sheetId="8" r:id="rId8"/>
    <sheet name="SENSITIVITY_ANALYSIS" sheetId="9" r:id="rId9"/>
    <sheet name="CHANGELOG" sheetId="10" r:id="rId10"/>
    <sheet name="METHODOLOGY_NOTE" sheetId="11" r:id="rId11"/>
  </sheets>
  <definedNames>
    <definedName name="ActiveScenario">Assumptions!$H$4</definedName>
    <definedName name="Admin_Cost">Assumptions!$C$78</definedName>
    <definedName name="Alpha_Solar">Assumptions!$C$35</definedName>
    <definedName name="Alpha_Wind">Assumptions!$C$36</definedName>
    <definedName name="Batt_w1h">Assumptions!$C$47</definedName>
    <definedName name="Batt_w2h">Assumptions!$C$48</definedName>
    <definedName name="Batt_w4h">Assumptions!$C$49</definedName>
    <definedName name="Batt_w8h">Assumptions!$C$50</definedName>
    <definedName name="Batt_WACC">Assumptions!$C$53</definedName>
    <definedName name="Battery_RTE">Assumptions!$C$44</definedName>
    <definedName name="CF_Solar">Assumptions!$C$33</definedName>
    <definedName name="CF_Wind">Assumptions!$C$34</definedName>
    <definedName name="Coal_Accel">Assumptions!$C$19</definedName>
    <definedName name="Coal_CFe">Assumptions!$C$15</definedName>
    <definedName name="Coal_CFp">Assumptions!$C$16</definedName>
    <definedName name="Coal_Degrade">Assumptions!$C$87</definedName>
    <definedName name="Coal_Esc">Assumptions!$C$18</definedName>
    <definedName name="Coal_FOM">Assumptions!$C$84</definedName>
    <definedName name="Coal_Heat_Rate">Assumptions!$C$83</definedName>
    <definedName name="Coal_Price">Assumptions!$C$86</definedName>
    <definedName name="Coal_SRMC">Assumptions!$C$17</definedName>
    <definedName name="Coal_Start">Assumptions!$C$14</definedName>
    <definedName name="Coal_VOM">Assumptions!$C$85</definedName>
    <definedName name="Contract_Years">Assumptions!$C$72</definedName>
    <definedName name="Curtail_Rate">Assumptions!$C$63</definedName>
    <definedName name="Curtail_Thresh">Assumptions!$C$62</definedName>
    <definedName name="Def_Elas">Assumptions!$C$60</definedName>
    <definedName name="Dem_Growth">Assumptions!$C$8</definedName>
    <definedName name="Dem_Start">Assumptions!$C$7</definedName>
    <definedName name="Direct_Flow">Assumptions!$C$43</definedName>
    <definedName name="Divest_Rate">Assumptions!$C$73</definedName>
    <definedName name="Drought_Gap">Assumptions!#REF!</definedName>
    <definedName name="ELCC_base">Assumptions!$C$38</definedName>
    <definedName name="ESEM_Build_Cap">Assumptions!$C$74</definedName>
    <definedName name="ESEM_On">Assumptions!$C$65</definedName>
    <definedName name="ESEM_Start">Assumptions!$C$66</definedName>
    <definedName name="ESEM_WACC_Disc">Assumptions!$C$57</definedName>
    <definedName name="Firm_CFe">Assumptions!$C$23</definedName>
    <definedName name="Firm_CFp">Assumptions!$C$24</definedName>
    <definedName name="Firm_Cov">Assumptions!$C$69</definedName>
    <definedName name="Firm_Decay">Assumptions!$C$22</definedName>
    <definedName name="Firm_Gen_CF">Assumptions!$C$30</definedName>
    <definedName name="Firm_LRMC">Assumptions!$C$27</definedName>
    <definedName name="Firm_Sprd">Assumptions!$C$28</definedName>
    <definedName name="Firm_SRMC">Assumptions!$C$25</definedName>
    <definedName name="Firm_Start">Assumptions!$C$21</definedName>
    <definedName name="Firm_Tight">Assumptions!$C$29</definedName>
    <definedName name="Firm_VC">Assumptions!$C$26</definedName>
    <definedName name="Fwd_Alpha">Assumptions!#REF!</definedName>
    <definedName name="Fwd_k">Assumptions!$C$61</definedName>
    <definedName name="Gas_WACC">Assumptions!$C$56</definedName>
    <definedName name="Lag">Assumptions!$C$70</definedName>
    <definedName name="Markup_Base">Assumptions!$C$75</definedName>
    <definedName name="Markup_Rate">Assumptions!$C$76</definedName>
    <definedName name="Other_Firm">Assumptions!$C$11</definedName>
    <definedName name="Other_Gen">Assumptions!#REF!</definedName>
    <definedName name="Peak_Growth">Assumptions!$C$10</definedName>
    <definedName name="Peak_Start">Assumptions!$C$9</definedName>
    <definedName name="RE_Cov">Assumptions!$C$68</definedName>
    <definedName name="Recycle_Lag">Assumptions!$C$71</definedName>
    <definedName name="Repl_Frac">'Building assets'!$B$19</definedName>
    <definedName name="Repl_Year">'Building assets'!$B$20</definedName>
    <definedName name="Scenario_Num">Assumptions!$C$4</definedName>
    <definedName name="Surp_Elas">Assumptions!$C$59</definedName>
    <definedName name="VRE_CFe">Assumptions!$C$37</definedName>
    <definedName name="VRE_Dep">Assumptions!$C$42</definedName>
    <definedName name="VRE_ELCC">Assumptions!$C$39</definedName>
    <definedName name="VRE_PrePipe">Assumptions!$C$12</definedName>
    <definedName name="VRE_Ratio">Assumptions!$C$40</definedName>
    <definedName name="VRE_Share0">Assumptions!$C$79</definedName>
    <definedName name="VRE_ShareT">Assumptions!$C$67</definedName>
    <definedName name="VRE_Sprd">Assumptions!$C$41</definedName>
    <definedName name="VRE_Start">Assumptions!$C$32</definedName>
    <definedName name="VRE_WACC_S">Assumptions!$C$54</definedName>
    <definedName name="VRE_WACC_W">Assumptions!$C$55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0" l="1"/>
  <c r="E24" i="10"/>
  <c r="E23" i="10"/>
  <c r="D22" i="10"/>
  <c r="E21" i="10"/>
  <c r="E20" i="10"/>
  <c r="E91" i="8"/>
  <c r="E90" i="8"/>
  <c r="D90" i="8"/>
  <c r="E89" i="8"/>
  <c r="D89" i="8"/>
  <c r="E88" i="8"/>
  <c r="E87" i="8"/>
  <c r="E82" i="8"/>
  <c r="E81" i="8"/>
  <c r="E80" i="8"/>
  <c r="E79" i="8"/>
  <c r="E69" i="8"/>
  <c r="E68" i="8"/>
  <c r="E62" i="8"/>
  <c r="E55" i="8"/>
  <c r="E53" i="8"/>
  <c r="E45" i="8"/>
  <c r="E43" i="8"/>
  <c r="E41" i="8"/>
  <c r="E40" i="8"/>
  <c r="E39" i="8"/>
  <c r="E37" i="8"/>
  <c r="E31" i="8"/>
  <c r="E24" i="8"/>
  <c r="E18" i="8"/>
  <c r="E16" i="8"/>
  <c r="E11" i="8"/>
  <c r="E9" i="8"/>
  <c r="E7" i="8"/>
  <c r="E6" i="8"/>
  <c r="AU29" i="7"/>
  <c r="AO29" i="7"/>
  <c r="AN29" i="7"/>
  <c r="AF29" i="7"/>
  <c r="AE29" i="7"/>
  <c r="AC29" i="7"/>
  <c r="Q29" i="7"/>
  <c r="H29" i="7"/>
  <c r="G29" i="7"/>
  <c r="F29" i="7"/>
  <c r="AU28" i="7"/>
  <c r="AO28" i="7"/>
  <c r="AN28" i="7"/>
  <c r="AF28" i="7"/>
  <c r="AE28" i="7"/>
  <c r="AC28" i="7"/>
  <c r="Q28" i="7"/>
  <c r="H28" i="7"/>
  <c r="G28" i="7"/>
  <c r="F28" i="7"/>
  <c r="AU27" i="7"/>
  <c r="AO27" i="7"/>
  <c r="AN27" i="7"/>
  <c r="AF27" i="7"/>
  <c r="AE27" i="7"/>
  <c r="AC27" i="7"/>
  <c r="Q27" i="7"/>
  <c r="H27" i="7"/>
  <c r="G27" i="7"/>
  <c r="F27" i="7"/>
  <c r="AU26" i="7"/>
  <c r="AO26" i="7"/>
  <c r="AN26" i="7"/>
  <c r="AF26" i="7"/>
  <c r="AE26" i="7"/>
  <c r="AC26" i="7"/>
  <c r="Q26" i="7"/>
  <c r="H26" i="7"/>
  <c r="G26" i="7"/>
  <c r="F26" i="7"/>
  <c r="AU25" i="7"/>
  <c r="AO25" i="7"/>
  <c r="AN25" i="7"/>
  <c r="AF25" i="7"/>
  <c r="AE25" i="7"/>
  <c r="AC25" i="7"/>
  <c r="Q25" i="7"/>
  <c r="H25" i="7"/>
  <c r="G25" i="7"/>
  <c r="F25" i="7"/>
  <c r="AU24" i="7"/>
  <c r="AO24" i="7"/>
  <c r="AN24" i="7"/>
  <c r="AF24" i="7"/>
  <c r="AE24" i="7"/>
  <c r="AC24" i="7"/>
  <c r="Q24" i="7"/>
  <c r="H24" i="7"/>
  <c r="G24" i="7"/>
  <c r="F24" i="7"/>
  <c r="AU23" i="7"/>
  <c r="AO23" i="7"/>
  <c r="AN23" i="7"/>
  <c r="AF23" i="7"/>
  <c r="AE23" i="7"/>
  <c r="AC23" i="7"/>
  <c r="Q23" i="7"/>
  <c r="H23" i="7"/>
  <c r="G23" i="7"/>
  <c r="F23" i="7"/>
  <c r="AU22" i="7"/>
  <c r="AO22" i="7"/>
  <c r="AN22" i="7"/>
  <c r="AF22" i="7"/>
  <c r="AE22" i="7"/>
  <c r="AC22" i="7"/>
  <c r="Q22" i="7"/>
  <c r="H22" i="7"/>
  <c r="G22" i="7"/>
  <c r="F22" i="7"/>
  <c r="AU21" i="7"/>
  <c r="AO21" i="7"/>
  <c r="AN21" i="7"/>
  <c r="AF21" i="7"/>
  <c r="AE21" i="7"/>
  <c r="AC21" i="7"/>
  <c r="Q21" i="7"/>
  <c r="H21" i="7"/>
  <c r="G21" i="7"/>
  <c r="F21" i="7"/>
  <c r="AU20" i="7"/>
  <c r="AO20" i="7"/>
  <c r="AN20" i="7"/>
  <c r="AF20" i="7"/>
  <c r="AE20" i="7"/>
  <c r="AC20" i="7"/>
  <c r="Q20" i="7"/>
  <c r="H20" i="7"/>
  <c r="G20" i="7"/>
  <c r="F20" i="7"/>
  <c r="AU19" i="7"/>
  <c r="AO19" i="7"/>
  <c r="AN19" i="7"/>
  <c r="AF19" i="7"/>
  <c r="AE19" i="7"/>
  <c r="AC19" i="7"/>
  <c r="Q19" i="7"/>
  <c r="H19" i="7"/>
  <c r="G19" i="7"/>
  <c r="F19" i="7"/>
  <c r="AU18" i="7"/>
  <c r="AO18" i="7"/>
  <c r="AN18" i="7"/>
  <c r="AF18" i="7"/>
  <c r="AE18" i="7"/>
  <c r="AC18" i="7"/>
  <c r="Q18" i="7"/>
  <c r="H18" i="7"/>
  <c r="G18" i="7"/>
  <c r="F18" i="7"/>
  <c r="AU17" i="7"/>
  <c r="AO17" i="7"/>
  <c r="AN17" i="7"/>
  <c r="AF17" i="7"/>
  <c r="AE17" i="7"/>
  <c r="AC17" i="7"/>
  <c r="Q17" i="7"/>
  <c r="H17" i="7"/>
  <c r="G17" i="7"/>
  <c r="F17" i="7"/>
  <c r="AU16" i="7"/>
  <c r="AO16" i="7"/>
  <c r="AN16" i="7"/>
  <c r="AF16" i="7"/>
  <c r="AE16" i="7"/>
  <c r="AC16" i="7"/>
  <c r="Q16" i="7"/>
  <c r="H16" i="7"/>
  <c r="G16" i="7"/>
  <c r="F16" i="7"/>
  <c r="AU15" i="7"/>
  <c r="AO15" i="7"/>
  <c r="AN15" i="7"/>
  <c r="AF15" i="7"/>
  <c r="AE15" i="7"/>
  <c r="AC15" i="7"/>
  <c r="Q15" i="7"/>
  <c r="H15" i="7"/>
  <c r="G15" i="7"/>
  <c r="F15" i="7"/>
  <c r="AU14" i="7"/>
  <c r="AO14" i="7"/>
  <c r="AN14" i="7"/>
  <c r="AF14" i="7"/>
  <c r="AE14" i="7"/>
  <c r="AC14" i="7"/>
  <c r="Q14" i="7"/>
  <c r="H14" i="7"/>
  <c r="G14" i="7"/>
  <c r="F14" i="7"/>
  <c r="AU13" i="7"/>
  <c r="AO13" i="7"/>
  <c r="AN13" i="7"/>
  <c r="AF13" i="7"/>
  <c r="AE13" i="7"/>
  <c r="AC13" i="7"/>
  <c r="Q13" i="7"/>
  <c r="H13" i="7"/>
  <c r="G13" i="7"/>
  <c r="F13" i="7"/>
  <c r="AU12" i="7"/>
  <c r="AO12" i="7"/>
  <c r="AN12" i="7"/>
  <c r="AF12" i="7"/>
  <c r="AE12" i="7"/>
  <c r="AC12" i="7"/>
  <c r="Q12" i="7"/>
  <c r="H12" i="7"/>
  <c r="G12" i="7"/>
  <c r="F12" i="7"/>
  <c r="AU11" i="7"/>
  <c r="AO11" i="7"/>
  <c r="AN11" i="7"/>
  <c r="AF11" i="7"/>
  <c r="AE11" i="7"/>
  <c r="AC11" i="7"/>
  <c r="Q11" i="7"/>
  <c r="H11" i="7"/>
  <c r="G11" i="7"/>
  <c r="F11" i="7"/>
  <c r="AU10" i="7"/>
  <c r="AO10" i="7"/>
  <c r="AN10" i="7"/>
  <c r="AF10" i="7"/>
  <c r="AE10" i="7"/>
  <c r="AC10" i="7"/>
  <c r="Q10" i="7"/>
  <c r="H10" i="7"/>
  <c r="G10" i="7"/>
  <c r="F10" i="7"/>
  <c r="AU9" i="7"/>
  <c r="AO9" i="7"/>
  <c r="AN9" i="7"/>
  <c r="AF9" i="7"/>
  <c r="AE9" i="7"/>
  <c r="AC9" i="7"/>
  <c r="Q9" i="7"/>
  <c r="H9" i="7"/>
  <c r="G9" i="7"/>
  <c r="F9" i="7"/>
  <c r="AU8" i="7"/>
  <c r="AO8" i="7"/>
  <c r="AN8" i="7"/>
  <c r="AF8" i="7"/>
  <c r="AE8" i="7"/>
  <c r="AC8" i="7"/>
  <c r="Q8" i="7"/>
  <c r="H8" i="7"/>
  <c r="G8" i="7"/>
  <c r="F8" i="7"/>
  <c r="AU7" i="7"/>
  <c r="AO7" i="7"/>
  <c r="AN7" i="7"/>
  <c r="AF7" i="7"/>
  <c r="AE7" i="7"/>
  <c r="AC7" i="7"/>
  <c r="Q7" i="7"/>
  <c r="H7" i="7"/>
  <c r="G7" i="7"/>
  <c r="F7" i="7"/>
  <c r="AU6" i="7"/>
  <c r="AO6" i="7"/>
  <c r="AN6" i="7"/>
  <c r="AF6" i="7"/>
  <c r="AE6" i="7"/>
  <c r="AC6" i="7"/>
  <c r="Q6" i="7"/>
  <c r="H6" i="7"/>
  <c r="G6" i="7"/>
  <c r="F6" i="7"/>
  <c r="AU5" i="7"/>
  <c r="AO5" i="7"/>
  <c r="AN5" i="7"/>
  <c r="AF5" i="7"/>
  <c r="AE5" i="7"/>
  <c r="AC5" i="7"/>
  <c r="Q5" i="7"/>
  <c r="H5" i="7"/>
  <c r="G5" i="7"/>
  <c r="F5" i="7"/>
  <c r="AU4" i="7"/>
  <c r="AO4" i="7"/>
  <c r="AN4" i="7"/>
  <c r="AJ4" i="7"/>
  <c r="AF4" i="7"/>
  <c r="AE4" i="7"/>
  <c r="AC4" i="7"/>
  <c r="Q4" i="7"/>
  <c r="H4" i="7"/>
  <c r="G4" i="7"/>
  <c r="F4" i="7"/>
  <c r="AC8" i="6"/>
  <c r="AB8" i="6"/>
  <c r="AA8" i="6"/>
  <c r="Z8" i="6"/>
  <c r="Y8" i="6"/>
  <c r="X8" i="6"/>
  <c r="W8" i="6"/>
  <c r="V8" i="6"/>
  <c r="U8" i="6"/>
  <c r="T8" i="6"/>
  <c r="S8" i="6"/>
  <c r="R8" i="6"/>
  <c r="Q8" i="6"/>
  <c r="P8" i="6"/>
  <c r="O8" i="6"/>
  <c r="N8" i="6"/>
  <c r="M8" i="6"/>
  <c r="L8" i="6"/>
  <c r="K8" i="6"/>
  <c r="J8" i="6"/>
  <c r="I8" i="6"/>
  <c r="H8" i="6"/>
  <c r="G8" i="6"/>
  <c r="F8" i="6"/>
  <c r="E8" i="6"/>
  <c r="D8" i="6"/>
  <c r="AC7" i="6"/>
  <c r="AB7" i="6"/>
  <c r="AA7" i="6"/>
  <c r="Z7" i="6"/>
  <c r="Y7" i="6"/>
  <c r="X7" i="6"/>
  <c r="W7" i="6"/>
  <c r="V7" i="6"/>
  <c r="U7" i="6"/>
  <c r="T7" i="6"/>
  <c r="S7" i="6"/>
  <c r="R7" i="6"/>
  <c r="Q7" i="6"/>
  <c r="P7" i="6"/>
  <c r="O7" i="6"/>
  <c r="N7" i="6"/>
  <c r="M7" i="6"/>
  <c r="L7" i="6"/>
  <c r="K7" i="6"/>
  <c r="J7" i="6"/>
  <c r="I7" i="6"/>
  <c r="H7" i="6"/>
  <c r="G7" i="6"/>
  <c r="F7" i="6"/>
  <c r="E7" i="6"/>
  <c r="D7" i="6"/>
  <c r="AC5" i="6"/>
  <c r="AB5" i="6"/>
  <c r="AA5" i="6"/>
  <c r="Z5" i="6"/>
  <c r="Y5" i="6"/>
  <c r="X5" i="6"/>
  <c r="W5" i="6"/>
  <c r="V5" i="6"/>
  <c r="U5" i="6"/>
  <c r="T5" i="6"/>
  <c r="S5" i="6"/>
  <c r="R5" i="6"/>
  <c r="Q5" i="6"/>
  <c r="P5" i="6"/>
  <c r="O5" i="6"/>
  <c r="N5" i="6"/>
  <c r="M5" i="6"/>
  <c r="L5" i="6"/>
  <c r="K5" i="6"/>
  <c r="J5" i="6"/>
  <c r="I5" i="6"/>
  <c r="H5" i="6"/>
  <c r="G5" i="6"/>
  <c r="F5" i="6"/>
  <c r="E5" i="6"/>
  <c r="D5" i="6"/>
  <c r="AC4" i="6"/>
  <c r="AB4" i="6"/>
  <c r="AA4" i="6"/>
  <c r="Z4" i="6"/>
  <c r="Y4" i="6"/>
  <c r="X4" i="6"/>
  <c r="W4" i="6"/>
  <c r="V4" i="6"/>
  <c r="U4" i="6"/>
  <c r="T4" i="6"/>
  <c r="S4" i="6"/>
  <c r="R4" i="6"/>
  <c r="Q4" i="6"/>
  <c r="P4" i="6"/>
  <c r="O4" i="6"/>
  <c r="N4" i="6"/>
  <c r="M4" i="6"/>
  <c r="L4" i="6"/>
  <c r="K4" i="6"/>
  <c r="J4" i="6"/>
  <c r="I4" i="6"/>
  <c r="H4" i="6"/>
  <c r="G4" i="6"/>
  <c r="F4" i="6"/>
  <c r="E4" i="6"/>
  <c r="D4" i="6"/>
  <c r="C5" i="5"/>
  <c r="C70" i="4"/>
  <c r="C69" i="4"/>
  <c r="C68" i="4"/>
  <c r="C61" i="4"/>
  <c r="M4" i="7" s="1"/>
  <c r="C52" i="4"/>
  <c r="C51" i="4"/>
  <c r="C50" i="4"/>
  <c r="C47" i="4"/>
  <c r="V4" i="7" s="1"/>
  <c r="C46" i="4"/>
  <c r="C44" i="4"/>
  <c r="C43" i="4"/>
  <c r="C40" i="4"/>
  <c r="C28" i="4"/>
  <c r="N10" i="4"/>
  <c r="N11" i="4" s="1"/>
  <c r="I10" i="4"/>
  <c r="I11" i="4" s="1"/>
  <c r="T8" i="4"/>
  <c r="T9" i="4" s="1"/>
  <c r="AB7" i="4"/>
  <c r="AJ29" i="7" s="1"/>
  <c r="AA7" i="4"/>
  <c r="AJ28" i="7" s="1"/>
  <c r="Z7" i="4"/>
  <c r="AJ27" i="7" s="1"/>
  <c r="Y7" i="4"/>
  <c r="AJ26" i="7" s="1"/>
  <c r="X7" i="4"/>
  <c r="AJ25" i="7" s="1"/>
  <c r="W7" i="4"/>
  <c r="AJ24" i="7" s="1"/>
  <c r="V7" i="4"/>
  <c r="AJ23" i="7" s="1"/>
  <c r="U7" i="4"/>
  <c r="AJ22" i="7" s="1"/>
  <c r="T7" i="4"/>
  <c r="AJ21" i="7" s="1"/>
  <c r="S7" i="4"/>
  <c r="AJ20" i="7" s="1"/>
  <c r="R7" i="4"/>
  <c r="AJ19" i="7" s="1"/>
  <c r="Q7" i="4"/>
  <c r="AJ18" i="7" s="1"/>
  <c r="P7" i="4"/>
  <c r="AJ17" i="7" s="1"/>
  <c r="O7" i="4"/>
  <c r="AJ16" i="7" s="1"/>
  <c r="N7" i="4"/>
  <c r="AJ15" i="7" s="1"/>
  <c r="M7" i="4"/>
  <c r="AJ14" i="7" s="1"/>
  <c r="L7" i="4"/>
  <c r="AJ13" i="7" s="1"/>
  <c r="K7" i="4"/>
  <c r="AJ12" i="7" s="1"/>
  <c r="J7" i="4"/>
  <c r="AJ11" i="7" s="1"/>
  <c r="I7" i="4"/>
  <c r="AJ10" i="7" s="1"/>
  <c r="H7" i="4"/>
  <c r="AJ9" i="7" s="1"/>
  <c r="G7" i="4"/>
  <c r="AJ8" i="7" s="1"/>
  <c r="F7" i="4"/>
  <c r="AJ7" i="7" s="1"/>
  <c r="E7" i="4"/>
  <c r="AJ6" i="7" s="1"/>
  <c r="D7" i="4"/>
  <c r="AJ5" i="7" s="1"/>
  <c r="AB6" i="4"/>
  <c r="AA6" i="4"/>
  <c r="Z6" i="4"/>
  <c r="Y6" i="4"/>
  <c r="X6" i="4"/>
  <c r="W6" i="4"/>
  <c r="V6" i="4"/>
  <c r="U6" i="4"/>
  <c r="T6" i="4"/>
  <c r="S6" i="4"/>
  <c r="R6" i="4"/>
  <c r="Q6" i="4"/>
  <c r="P6" i="4"/>
  <c r="O6" i="4"/>
  <c r="N6" i="4"/>
  <c r="M6" i="4"/>
  <c r="L6" i="4"/>
  <c r="K6" i="4"/>
  <c r="J6" i="4"/>
  <c r="I6" i="4"/>
  <c r="H6" i="4"/>
  <c r="G6" i="4"/>
  <c r="F6" i="4"/>
  <c r="E6" i="4"/>
  <c r="D6" i="4"/>
  <c r="W66" i="3"/>
  <c r="F44" i="5" s="1"/>
  <c r="P66" i="3"/>
  <c r="N66" i="3"/>
  <c r="I66" i="3"/>
  <c r="D51" i="3"/>
  <c r="D40" i="3"/>
  <c r="D28" i="3"/>
  <c r="AC22" i="3"/>
  <c r="AB22" i="3"/>
  <c r="AA22" i="3"/>
  <c r="Z22" i="3"/>
  <c r="Y22" i="3"/>
  <c r="X22" i="3"/>
  <c r="AS24" i="7" s="1"/>
  <c r="W22" i="3"/>
  <c r="AS23" i="7" s="1"/>
  <c r="V22" i="3"/>
  <c r="U22" i="3"/>
  <c r="T22" i="3"/>
  <c r="AS20" i="7" s="1"/>
  <c r="S22" i="3"/>
  <c r="R22" i="3"/>
  <c r="AS18" i="7" s="1"/>
  <c r="Q22" i="3"/>
  <c r="P22" i="3"/>
  <c r="O22" i="3"/>
  <c r="N22" i="3"/>
  <c r="M22" i="3"/>
  <c r="L22" i="3"/>
  <c r="AS12" i="7" s="1"/>
  <c r="K22" i="3"/>
  <c r="AS11" i="7" s="1"/>
  <c r="J22" i="3"/>
  <c r="I22" i="3"/>
  <c r="H22" i="3"/>
  <c r="AS8" i="7" s="1"/>
  <c r="G22" i="3"/>
  <c r="AS7" i="7" s="1"/>
  <c r="F22" i="3"/>
  <c r="AS6" i="7" s="1"/>
  <c r="E22" i="3"/>
  <c r="D22" i="3"/>
  <c r="D13" i="3"/>
  <c r="G8" i="3"/>
  <c r="G9" i="3" s="1"/>
  <c r="AC7" i="3"/>
  <c r="AB7" i="3"/>
  <c r="AA7" i="3"/>
  <c r="Z7" i="3"/>
  <c r="Y7" i="3"/>
  <c r="X7" i="3"/>
  <c r="W7" i="3"/>
  <c r="V7" i="3"/>
  <c r="U7" i="3"/>
  <c r="T7" i="3"/>
  <c r="S7" i="3"/>
  <c r="R7" i="3"/>
  <c r="Q7" i="3"/>
  <c r="P7" i="3"/>
  <c r="O7" i="3"/>
  <c r="N7" i="3"/>
  <c r="M7" i="3"/>
  <c r="L7" i="3"/>
  <c r="K7" i="3"/>
  <c r="J7" i="3"/>
  <c r="I7" i="3"/>
  <c r="H7" i="3"/>
  <c r="G7" i="3"/>
  <c r="F7" i="3"/>
  <c r="E7" i="3"/>
  <c r="D7" i="3"/>
  <c r="AC6" i="3"/>
  <c r="AB6" i="3"/>
  <c r="AA6" i="3"/>
  <c r="Z6" i="3"/>
  <c r="Y6" i="3"/>
  <c r="X6" i="3"/>
  <c r="W6" i="3"/>
  <c r="V6" i="3"/>
  <c r="U6" i="3"/>
  <c r="T6" i="3"/>
  <c r="S6" i="3"/>
  <c r="R6" i="3"/>
  <c r="Q6" i="3"/>
  <c r="P6" i="3"/>
  <c r="O6" i="3"/>
  <c r="N6" i="3"/>
  <c r="M6" i="3"/>
  <c r="L6" i="3"/>
  <c r="K6" i="3"/>
  <c r="J6" i="3"/>
  <c r="I6" i="3"/>
  <c r="H6" i="3"/>
  <c r="G6" i="3"/>
  <c r="F6" i="3"/>
  <c r="E6" i="3"/>
  <c r="D6" i="3"/>
  <c r="M111" i="2"/>
  <c r="H111" i="2"/>
  <c r="G111" i="2"/>
  <c r="B108" i="2"/>
  <c r="C76" i="4" s="1"/>
  <c r="K106" i="2"/>
  <c r="L13" i="4" s="1"/>
  <c r="B105" i="2"/>
  <c r="B106" i="2" s="1"/>
  <c r="C13" i="4" s="1"/>
  <c r="AA104" i="2"/>
  <c r="AA105" i="2" s="1"/>
  <c r="AA106" i="2" s="1"/>
  <c r="AB13" i="4" s="1"/>
  <c r="K104" i="2"/>
  <c r="K105" i="2" s="1"/>
  <c r="B104" i="2"/>
  <c r="AA103" i="2"/>
  <c r="Z103" i="2"/>
  <c r="Y103" i="2"/>
  <c r="X103" i="2"/>
  <c r="W103" i="2"/>
  <c r="V103" i="2"/>
  <c r="U103" i="2"/>
  <c r="T103" i="2"/>
  <c r="S103" i="2"/>
  <c r="R103" i="2"/>
  <c r="Q103" i="2"/>
  <c r="P103" i="2"/>
  <c r="O103" i="2"/>
  <c r="N103" i="2"/>
  <c r="M103" i="2"/>
  <c r="L103" i="2"/>
  <c r="K103" i="2"/>
  <c r="J103" i="2"/>
  <c r="I103" i="2"/>
  <c r="H103" i="2"/>
  <c r="G103" i="2"/>
  <c r="F103" i="2"/>
  <c r="E103" i="2"/>
  <c r="D103" i="2"/>
  <c r="C103" i="2"/>
  <c r="B103" i="2"/>
  <c r="B100" i="2"/>
  <c r="B99" i="2"/>
  <c r="B98" i="2"/>
  <c r="AA86" i="2"/>
  <c r="Z86" i="2"/>
  <c r="Y86" i="2"/>
  <c r="X86" i="2"/>
  <c r="W86" i="2"/>
  <c r="V86" i="2"/>
  <c r="U86" i="2"/>
  <c r="T86" i="2"/>
  <c r="S86" i="2"/>
  <c r="R86" i="2"/>
  <c r="Q86" i="2"/>
  <c r="P86" i="2"/>
  <c r="O86" i="2"/>
  <c r="N86" i="2"/>
  <c r="M86" i="2"/>
  <c r="L86" i="2"/>
  <c r="K86" i="2"/>
  <c r="J86" i="2"/>
  <c r="I86" i="2"/>
  <c r="H86" i="2"/>
  <c r="G86" i="2"/>
  <c r="F86" i="2"/>
  <c r="E86" i="2"/>
  <c r="D86" i="2"/>
  <c r="C86" i="2"/>
  <c r="B86" i="2"/>
  <c r="AA85" i="2"/>
  <c r="AA87" i="2" s="1"/>
  <c r="AA92" i="2" s="1"/>
  <c r="Q85" i="2"/>
  <c r="Q87" i="2" s="1"/>
  <c r="Q92" i="2" s="1"/>
  <c r="O85" i="2"/>
  <c r="O87" i="2" s="1"/>
  <c r="O92" i="2" s="1"/>
  <c r="N85" i="2"/>
  <c r="N87" i="2" s="1"/>
  <c r="N92" i="2" s="1"/>
  <c r="C85" i="2"/>
  <c r="C87" i="2" s="1"/>
  <c r="C92" i="2" s="1"/>
  <c r="AA84" i="2"/>
  <c r="Z84" i="2"/>
  <c r="Y84" i="2"/>
  <c r="X84" i="2"/>
  <c r="W84" i="2"/>
  <c r="V84" i="2"/>
  <c r="U84" i="2"/>
  <c r="T84" i="2"/>
  <c r="S84" i="2"/>
  <c r="R84" i="2"/>
  <c r="Q84" i="2"/>
  <c r="P84" i="2"/>
  <c r="O84" i="2"/>
  <c r="N84" i="2"/>
  <c r="M84" i="2"/>
  <c r="L84" i="2"/>
  <c r="K84" i="2"/>
  <c r="J84" i="2"/>
  <c r="I84" i="2"/>
  <c r="H84" i="2"/>
  <c r="G84" i="2"/>
  <c r="F84" i="2"/>
  <c r="E84" i="2"/>
  <c r="D84" i="2"/>
  <c r="C84" i="2"/>
  <c r="B84" i="2"/>
  <c r="S69" i="2"/>
  <c r="R69" i="2"/>
  <c r="B69" i="2"/>
  <c r="T66" i="2"/>
  <c r="F66" i="2"/>
  <c r="AA61" i="2"/>
  <c r="AA68" i="2" s="1"/>
  <c r="O61" i="2"/>
  <c r="N61" i="2"/>
  <c r="N68" i="2" s="1"/>
  <c r="B61" i="2"/>
  <c r="AA60" i="2"/>
  <c r="AA65" i="2" s="1"/>
  <c r="N60" i="2"/>
  <c r="AA44" i="2"/>
  <c r="Z44" i="2"/>
  <c r="Y44" i="2"/>
  <c r="X44" i="2"/>
  <c r="W44" i="2"/>
  <c r="V44" i="2"/>
  <c r="U44" i="2"/>
  <c r="T44" i="2"/>
  <c r="S44" i="2"/>
  <c r="R44" i="2"/>
  <c r="Q44" i="2"/>
  <c r="P44" i="2"/>
  <c r="O44" i="2"/>
  <c r="N44" i="2"/>
  <c r="M44" i="2"/>
  <c r="L44" i="2"/>
  <c r="K44" i="2"/>
  <c r="J44" i="2"/>
  <c r="I44" i="2"/>
  <c r="H44" i="2"/>
  <c r="G44" i="2"/>
  <c r="F44" i="2"/>
  <c r="E44" i="2"/>
  <c r="D44" i="2"/>
  <c r="C44" i="2"/>
  <c r="B44" i="2"/>
  <c r="B39" i="2"/>
  <c r="B35" i="2"/>
  <c r="B34" i="2"/>
  <c r="B29" i="2"/>
  <c r="B28" i="2"/>
  <c r="B27" i="2"/>
  <c r="B10" i="2"/>
  <c r="C78" i="1"/>
  <c r="C76" i="1"/>
  <c r="C75" i="1"/>
  <c r="C74" i="1"/>
  <c r="C72" i="1"/>
  <c r="C73" i="1" s="1"/>
  <c r="C71" i="1"/>
  <c r="C70" i="1"/>
  <c r="C69" i="1"/>
  <c r="C68" i="1"/>
  <c r="C67" i="1"/>
  <c r="C66" i="1"/>
  <c r="C63" i="1"/>
  <c r="C61" i="1"/>
  <c r="C60" i="1"/>
  <c r="C59" i="1"/>
  <c r="C57" i="1"/>
  <c r="C56" i="1"/>
  <c r="Z85" i="2" s="1"/>
  <c r="Z87" i="2" s="1"/>
  <c r="Z92" i="2" s="1"/>
  <c r="C55" i="1"/>
  <c r="C54" i="1"/>
  <c r="C53" i="1"/>
  <c r="C50" i="1"/>
  <c r="C49" i="1"/>
  <c r="C48" i="1"/>
  <c r="B33" i="2" s="1"/>
  <c r="C47" i="1"/>
  <c r="C45" i="1"/>
  <c r="C44" i="1"/>
  <c r="C43" i="1"/>
  <c r="C42" i="1"/>
  <c r="C41" i="1"/>
  <c r="E49" i="8" s="1"/>
  <c r="C40" i="1"/>
  <c r="E14" i="10" s="1"/>
  <c r="C38" i="1"/>
  <c r="C35" i="1"/>
  <c r="C34" i="1"/>
  <c r="C33" i="1"/>
  <c r="C32" i="1"/>
  <c r="C30" i="1"/>
  <c r="C29" i="1"/>
  <c r="C28" i="1"/>
  <c r="E50" i="8" s="1"/>
  <c r="C26" i="1"/>
  <c r="B40" i="2" s="1"/>
  <c r="C25" i="1"/>
  <c r="C24" i="1"/>
  <c r="E26" i="8" s="1"/>
  <c r="C23" i="1"/>
  <c r="E78" i="8" s="1"/>
  <c r="C22" i="1"/>
  <c r="C21" i="1"/>
  <c r="AA18" i="4" s="1"/>
  <c r="C19" i="1"/>
  <c r="C18" i="1"/>
  <c r="T104" i="2" s="1"/>
  <c r="T105" i="2" s="1"/>
  <c r="T106" i="2" s="1"/>
  <c r="U13" i="4" s="1"/>
  <c r="C17" i="1"/>
  <c r="S13" i="3" s="1"/>
  <c r="C16" i="1"/>
  <c r="AA111" i="2" s="1"/>
  <c r="C15" i="1"/>
  <c r="T110" i="2" s="1"/>
  <c r="C14" i="1"/>
  <c r="C12" i="1"/>
  <c r="C11" i="1"/>
  <c r="C10" i="1"/>
  <c r="C9" i="1"/>
  <c r="AA10" i="3" s="1"/>
  <c r="AA11" i="3" s="1"/>
  <c r="C8" i="1"/>
  <c r="C7" i="1"/>
  <c r="H4" i="1"/>
  <c r="C37" i="1" l="1"/>
  <c r="C28" i="7"/>
  <c r="AA20" i="4"/>
  <c r="AA19" i="4"/>
  <c r="E71" i="8"/>
  <c r="E70" i="8"/>
  <c r="E67" i="8"/>
  <c r="E66" i="8"/>
  <c r="D46" i="4"/>
  <c r="D6" i="6"/>
  <c r="W66" i="2"/>
  <c r="K66" i="2"/>
  <c r="V66" i="2"/>
  <c r="J66" i="2"/>
  <c r="R60" i="2"/>
  <c r="R65" i="2" s="1"/>
  <c r="F60" i="2"/>
  <c r="F65" i="2" s="1"/>
  <c r="P76" i="2"/>
  <c r="C61" i="2"/>
  <c r="C68" i="2" s="1"/>
  <c r="H66" i="2"/>
  <c r="T69" i="2"/>
  <c r="E54" i="8"/>
  <c r="E42" i="8"/>
  <c r="E44" i="8"/>
  <c r="Y65" i="2"/>
  <c r="M65" i="2"/>
  <c r="T67" i="2"/>
  <c r="H67" i="2"/>
  <c r="B8" i="2"/>
  <c r="G60" i="2"/>
  <c r="T60" i="2"/>
  <c r="T65" i="2" s="1"/>
  <c r="G61" i="2"/>
  <c r="G68" i="2" s="1"/>
  <c r="T61" i="2"/>
  <c r="M66" i="2"/>
  <c r="AA66" i="2"/>
  <c r="H69" i="2"/>
  <c r="X69" i="2"/>
  <c r="V85" i="2"/>
  <c r="V87" i="2" s="1"/>
  <c r="V92" i="2" s="1"/>
  <c r="H104" i="2"/>
  <c r="H105" i="2" s="1"/>
  <c r="H106" i="2" s="1"/>
  <c r="I13" i="4" s="1"/>
  <c r="H110" i="2"/>
  <c r="U111" i="2"/>
  <c r="G18" i="3"/>
  <c r="B9" i="2"/>
  <c r="H60" i="2"/>
  <c r="U60" i="2"/>
  <c r="U67" i="2" s="1"/>
  <c r="H61" i="2"/>
  <c r="H68" i="2" s="1"/>
  <c r="U61" i="2"/>
  <c r="U68" i="2" s="1"/>
  <c r="N66" i="2"/>
  <c r="T68" i="2"/>
  <c r="I69" i="2"/>
  <c r="Y69" i="2"/>
  <c r="Q75" i="2"/>
  <c r="H76" i="2"/>
  <c r="B85" i="2"/>
  <c r="B87" i="2" s="1"/>
  <c r="I104" i="2"/>
  <c r="I105" i="2" s="1"/>
  <c r="I106" i="2" s="1"/>
  <c r="J13" i="4" s="1"/>
  <c r="B107" i="2"/>
  <c r="L110" i="2"/>
  <c r="V18" i="3"/>
  <c r="E8" i="8"/>
  <c r="AA8" i="4"/>
  <c r="AA9" i="4" s="1"/>
  <c r="O8" i="4"/>
  <c r="O9" i="4" s="1"/>
  <c r="C8" i="4"/>
  <c r="C9" i="4" s="1"/>
  <c r="S8" i="4"/>
  <c r="S9" i="4" s="1"/>
  <c r="F8" i="4"/>
  <c r="F9" i="4" s="1"/>
  <c r="Y8" i="4"/>
  <c r="Y9" i="4" s="1"/>
  <c r="K8" i="4"/>
  <c r="K9" i="4" s="1"/>
  <c r="X8" i="4"/>
  <c r="X9" i="4" s="1"/>
  <c r="J8" i="4"/>
  <c r="J9" i="4" s="1"/>
  <c r="U8" i="3"/>
  <c r="U9" i="3" s="1"/>
  <c r="I8" i="3"/>
  <c r="I9" i="3" s="1"/>
  <c r="W8" i="4"/>
  <c r="W9" i="4" s="1"/>
  <c r="I8" i="4"/>
  <c r="I9" i="4" s="1"/>
  <c r="T8" i="3"/>
  <c r="T9" i="3" s="1"/>
  <c r="H8" i="3"/>
  <c r="H9" i="3" s="1"/>
  <c r="R8" i="4"/>
  <c r="R9" i="4" s="1"/>
  <c r="D8" i="4"/>
  <c r="D9" i="4" s="1"/>
  <c r="Q8" i="4"/>
  <c r="Q9" i="4" s="1"/>
  <c r="P8" i="4"/>
  <c r="P9" i="4" s="1"/>
  <c r="AB8" i="4"/>
  <c r="AB9" i="4" s="1"/>
  <c r="M8" i="4"/>
  <c r="M9" i="4" s="1"/>
  <c r="Z8" i="4"/>
  <c r="Z9" i="4" s="1"/>
  <c r="L8" i="4"/>
  <c r="L9" i="4" s="1"/>
  <c r="Z8" i="3"/>
  <c r="Z9" i="3" s="1"/>
  <c r="L8" i="3"/>
  <c r="L9" i="3" s="1"/>
  <c r="V8" i="4"/>
  <c r="V9" i="4" s="1"/>
  <c r="Y8" i="3"/>
  <c r="Y9" i="3" s="1"/>
  <c r="K8" i="3"/>
  <c r="K9" i="3" s="1"/>
  <c r="U8" i="4"/>
  <c r="U9" i="4" s="1"/>
  <c r="X8" i="3"/>
  <c r="X9" i="3" s="1"/>
  <c r="J8" i="3"/>
  <c r="J9" i="3" s="1"/>
  <c r="H8" i="4"/>
  <c r="H9" i="4" s="1"/>
  <c r="S8" i="3"/>
  <c r="S9" i="3" s="1"/>
  <c r="E8" i="3"/>
  <c r="E9" i="3" s="1"/>
  <c r="G8" i="4"/>
  <c r="G9" i="4" s="1"/>
  <c r="R8" i="3"/>
  <c r="R9" i="3" s="1"/>
  <c r="D8" i="3"/>
  <c r="D9" i="3" s="1"/>
  <c r="E8" i="4"/>
  <c r="E9" i="4" s="1"/>
  <c r="Q8" i="3"/>
  <c r="Q9" i="3" s="1"/>
  <c r="P8" i="3"/>
  <c r="P9" i="3" s="1"/>
  <c r="AC8" i="3"/>
  <c r="AC9" i="3" s="1"/>
  <c r="O8" i="3"/>
  <c r="O9" i="3" s="1"/>
  <c r="AB8" i="3"/>
  <c r="AB9" i="3" s="1"/>
  <c r="N8" i="3"/>
  <c r="N9" i="3" s="1"/>
  <c r="AA8" i="3"/>
  <c r="AA9" i="3" s="1"/>
  <c r="B60" i="2"/>
  <c r="B67" i="2" s="1"/>
  <c r="C14" i="4"/>
  <c r="D14" i="3"/>
  <c r="I61" i="2"/>
  <c r="M110" i="2"/>
  <c r="W18" i="3"/>
  <c r="E25" i="8"/>
  <c r="W18" i="4"/>
  <c r="K18" i="4"/>
  <c r="U18" i="4"/>
  <c r="H18" i="4"/>
  <c r="T18" i="4"/>
  <c r="G18" i="4"/>
  <c r="S18" i="4"/>
  <c r="F18" i="4"/>
  <c r="P18" i="4"/>
  <c r="C18" i="4"/>
  <c r="X18" i="4"/>
  <c r="R18" i="3"/>
  <c r="F18" i="3"/>
  <c r="V18" i="4"/>
  <c r="AC18" i="3"/>
  <c r="Q18" i="3"/>
  <c r="E18" i="3"/>
  <c r="R18" i="4"/>
  <c r="AB18" i="3"/>
  <c r="P18" i="3"/>
  <c r="D18" i="3"/>
  <c r="M18" i="4"/>
  <c r="X18" i="3"/>
  <c r="L18" i="3"/>
  <c r="L18" i="4"/>
  <c r="AB18" i="4"/>
  <c r="J18" i="4"/>
  <c r="Z18" i="4"/>
  <c r="E18" i="4"/>
  <c r="Y18" i="4"/>
  <c r="D18" i="4"/>
  <c r="AA18" i="3"/>
  <c r="J18" i="3"/>
  <c r="Z18" i="3"/>
  <c r="I18" i="3"/>
  <c r="Y18" i="3"/>
  <c r="H18" i="3"/>
  <c r="Q18" i="4"/>
  <c r="U18" i="3"/>
  <c r="O18" i="4"/>
  <c r="T18" i="3"/>
  <c r="N18" i="4"/>
  <c r="S18" i="3"/>
  <c r="I18" i="4"/>
  <c r="O18" i="3"/>
  <c r="N18" i="3"/>
  <c r="M18" i="3"/>
  <c r="K18" i="3"/>
  <c r="G66" i="2"/>
  <c r="V60" i="2"/>
  <c r="O66" i="2"/>
  <c r="Z69" i="2"/>
  <c r="Y85" i="2"/>
  <c r="Y87" i="2" s="1"/>
  <c r="Y92" i="2" s="1"/>
  <c r="M85" i="2"/>
  <c r="M87" i="2" s="1"/>
  <c r="M92" i="2" s="1"/>
  <c r="X85" i="2"/>
  <c r="X87" i="2" s="1"/>
  <c r="X92" i="2" s="1"/>
  <c r="L85" i="2"/>
  <c r="L87" i="2" s="1"/>
  <c r="L92" i="2" s="1"/>
  <c r="W85" i="2"/>
  <c r="W87" i="2" s="1"/>
  <c r="W92" i="2" s="1"/>
  <c r="K85" i="2"/>
  <c r="K87" i="2" s="1"/>
  <c r="K92" i="2" s="1"/>
  <c r="T85" i="2"/>
  <c r="T87" i="2" s="1"/>
  <c r="T92" i="2" s="1"/>
  <c r="H85" i="2"/>
  <c r="H87" i="2" s="1"/>
  <c r="H92" i="2" s="1"/>
  <c r="R85" i="2"/>
  <c r="R87" i="2" s="1"/>
  <c r="R92" i="2" s="1"/>
  <c r="F85" i="2"/>
  <c r="F87" i="2" s="1"/>
  <c r="F92" i="2" s="1"/>
  <c r="P85" i="2"/>
  <c r="P87" i="2" s="1"/>
  <c r="P92" i="2" s="1"/>
  <c r="D85" i="2"/>
  <c r="D87" i="2" s="1"/>
  <c r="D92" i="2" s="1"/>
  <c r="B23" i="2"/>
  <c r="J60" i="2"/>
  <c r="J67" i="2" s="1"/>
  <c r="W60" i="2"/>
  <c r="W65" i="2" s="1"/>
  <c r="J61" i="2"/>
  <c r="J68" i="2" s="1"/>
  <c r="W61" i="2"/>
  <c r="N65" i="2"/>
  <c r="B66" i="2"/>
  <c r="P66" i="2"/>
  <c r="R67" i="2"/>
  <c r="L69" i="2"/>
  <c r="AA69" i="2"/>
  <c r="E85" i="2"/>
  <c r="E87" i="2" s="1"/>
  <c r="E92" i="2" s="1"/>
  <c r="O104" i="2"/>
  <c r="O105" i="2" s="1"/>
  <c r="O106" i="2" s="1"/>
  <c r="P13" i="4" s="1"/>
  <c r="L10" i="3"/>
  <c r="L11" i="3" s="1"/>
  <c r="E19" i="8"/>
  <c r="Z110" i="2"/>
  <c r="N110" i="2"/>
  <c r="B110" i="2"/>
  <c r="X110" i="2"/>
  <c r="K110" i="2"/>
  <c r="W110" i="2"/>
  <c r="J110" i="2"/>
  <c r="V110" i="2"/>
  <c r="I110" i="2"/>
  <c r="S110" i="2"/>
  <c r="F110" i="2"/>
  <c r="R110" i="2"/>
  <c r="E110" i="2"/>
  <c r="Q110" i="2"/>
  <c r="D110" i="2"/>
  <c r="P110" i="2"/>
  <c r="C110" i="2"/>
  <c r="O110" i="2"/>
  <c r="K60" i="2"/>
  <c r="K61" i="2"/>
  <c r="X61" i="2"/>
  <c r="X68" i="2" s="1"/>
  <c r="C66" i="2"/>
  <c r="Q66" i="2"/>
  <c r="I68" i="2"/>
  <c r="W68" i="2"/>
  <c r="M69" i="2"/>
  <c r="G85" i="2"/>
  <c r="G87" i="2" s="1"/>
  <c r="G92" i="2" s="1"/>
  <c r="P104" i="2"/>
  <c r="P105" i="2" s="1"/>
  <c r="P106" i="2" s="1"/>
  <c r="Q13" i="4" s="1"/>
  <c r="U110" i="2"/>
  <c r="M10" i="3"/>
  <c r="M11" i="3" s="1"/>
  <c r="O76" i="2"/>
  <c r="D56" i="4"/>
  <c r="F55" i="4"/>
  <c r="C56" i="4"/>
  <c r="E55" i="4"/>
  <c r="H56" i="4"/>
  <c r="D55" i="4"/>
  <c r="I57" i="4"/>
  <c r="AI10" i="7" s="1"/>
  <c r="G56" i="4"/>
  <c r="C55" i="4"/>
  <c r="G58" i="4"/>
  <c r="O8" i="7" s="1"/>
  <c r="E57" i="4"/>
  <c r="AI6" i="7" s="1"/>
  <c r="F58" i="4"/>
  <c r="O7" i="7" s="1"/>
  <c r="D57" i="4"/>
  <c r="AI5" i="7" s="1"/>
  <c r="E58" i="4"/>
  <c r="O6" i="7" s="1"/>
  <c r="C57" i="4"/>
  <c r="AI4" i="7" s="1"/>
  <c r="D58" i="4"/>
  <c r="O5" i="7" s="1"/>
  <c r="H57" i="4"/>
  <c r="AI9" i="7" s="1"/>
  <c r="F56" i="4"/>
  <c r="H55" i="4"/>
  <c r="I58" i="4"/>
  <c r="O10" i="7" s="1"/>
  <c r="G57" i="4"/>
  <c r="AI8" i="7" s="1"/>
  <c r="E56" i="4"/>
  <c r="G55" i="4"/>
  <c r="H58" i="4"/>
  <c r="O9" i="7" s="1"/>
  <c r="F57" i="4"/>
  <c r="AI7" i="7" s="1"/>
  <c r="I55" i="4"/>
  <c r="C58" i="4"/>
  <c r="O4" i="7" s="1"/>
  <c r="I56" i="4"/>
  <c r="E59" i="8"/>
  <c r="E61" i="8"/>
  <c r="B24" i="2"/>
  <c r="X60" i="2"/>
  <c r="X67" i="2" s="1"/>
  <c r="E67" i="2"/>
  <c r="E15" i="8"/>
  <c r="Y13" i="3"/>
  <c r="M13" i="3"/>
  <c r="X13" i="3"/>
  <c r="L13" i="3"/>
  <c r="V13" i="3"/>
  <c r="H13" i="3"/>
  <c r="U13" i="3"/>
  <c r="G13" i="3"/>
  <c r="T13" i="3"/>
  <c r="F13" i="3"/>
  <c r="Q13" i="3"/>
  <c r="P13" i="3"/>
  <c r="AC13" i="3"/>
  <c r="O13" i="3"/>
  <c r="AB13" i="3"/>
  <c r="N13" i="3"/>
  <c r="AA13" i="3"/>
  <c r="K13" i="3"/>
  <c r="Z13" i="3"/>
  <c r="J13" i="3"/>
  <c r="W13" i="3"/>
  <c r="I13" i="3"/>
  <c r="S76" i="2"/>
  <c r="L60" i="2"/>
  <c r="L67" i="2" s="1"/>
  <c r="Y60" i="2"/>
  <c r="Y67" i="2" s="1"/>
  <c r="L61" i="2"/>
  <c r="L68" i="2" s="1"/>
  <c r="Y61" i="2"/>
  <c r="Y68" i="2" s="1"/>
  <c r="B65" i="2"/>
  <c r="D66" i="2"/>
  <c r="R66" i="2"/>
  <c r="F67" i="2"/>
  <c r="V67" i="2"/>
  <c r="N69" i="2"/>
  <c r="M76" i="2"/>
  <c r="I85" i="2"/>
  <c r="I87" i="2" s="1"/>
  <c r="I92" i="2" s="1"/>
  <c r="Y110" i="2"/>
  <c r="Z10" i="3"/>
  <c r="Z11" i="3" s="1"/>
  <c r="I60" i="2"/>
  <c r="I67" i="2" s="1"/>
  <c r="V61" i="2"/>
  <c r="V68" i="2" s="1"/>
  <c r="K69" i="2"/>
  <c r="E20" i="8"/>
  <c r="Y111" i="2"/>
  <c r="X111" i="2"/>
  <c r="L111" i="2"/>
  <c r="Z111" i="2"/>
  <c r="K111" i="2"/>
  <c r="W111" i="2"/>
  <c r="J111" i="2"/>
  <c r="V111" i="2"/>
  <c r="I111" i="2"/>
  <c r="S111" i="2"/>
  <c r="F111" i="2"/>
  <c r="R111" i="2"/>
  <c r="E111" i="2"/>
  <c r="Q111" i="2"/>
  <c r="D111" i="2"/>
  <c r="P111" i="2"/>
  <c r="C111" i="2"/>
  <c r="O111" i="2"/>
  <c r="B111" i="2"/>
  <c r="S104" i="2"/>
  <c r="S105" i="2" s="1"/>
  <c r="S106" i="2" s="1"/>
  <c r="T13" i="4" s="1"/>
  <c r="G104" i="2"/>
  <c r="G105" i="2" s="1"/>
  <c r="G106" i="2" s="1"/>
  <c r="H13" i="4" s="1"/>
  <c r="R104" i="2"/>
  <c r="R105" i="2" s="1"/>
  <c r="R106" i="2" s="1"/>
  <c r="S13" i="4" s="1"/>
  <c r="F104" i="2"/>
  <c r="F105" i="2" s="1"/>
  <c r="F106" i="2" s="1"/>
  <c r="G13" i="4" s="1"/>
  <c r="Q104" i="2"/>
  <c r="Q105" i="2" s="1"/>
  <c r="Q106" i="2" s="1"/>
  <c r="R13" i="4" s="1"/>
  <c r="E104" i="2"/>
  <c r="E105" i="2" s="1"/>
  <c r="E106" i="2" s="1"/>
  <c r="F13" i="4" s="1"/>
  <c r="Z104" i="2"/>
  <c r="Z105" i="2" s="1"/>
  <c r="Z106" i="2" s="1"/>
  <c r="AA13" i="4" s="1"/>
  <c r="N104" i="2"/>
  <c r="N105" i="2" s="1"/>
  <c r="N106" i="2" s="1"/>
  <c r="O13" i="4" s="1"/>
  <c r="Y104" i="2"/>
  <c r="Y105" i="2" s="1"/>
  <c r="Y106" i="2" s="1"/>
  <c r="Z13" i="4" s="1"/>
  <c r="M104" i="2"/>
  <c r="M105" i="2" s="1"/>
  <c r="M106" i="2" s="1"/>
  <c r="N13" i="4" s="1"/>
  <c r="X104" i="2"/>
  <c r="X105" i="2" s="1"/>
  <c r="X106" i="2" s="1"/>
  <c r="Y13" i="4" s="1"/>
  <c r="L104" i="2"/>
  <c r="L105" i="2" s="1"/>
  <c r="L106" i="2" s="1"/>
  <c r="M13" i="4" s="1"/>
  <c r="W104" i="2"/>
  <c r="W105" i="2" s="1"/>
  <c r="W106" i="2" s="1"/>
  <c r="X13" i="4" s="1"/>
  <c r="V104" i="2"/>
  <c r="V105" i="2" s="1"/>
  <c r="V106" i="2" s="1"/>
  <c r="W13" i="4" s="1"/>
  <c r="J104" i="2"/>
  <c r="J105" i="2" s="1"/>
  <c r="J106" i="2" s="1"/>
  <c r="K13" i="4" s="1"/>
  <c r="E32" i="8"/>
  <c r="D29" i="7"/>
  <c r="D28" i="7"/>
  <c r="D27" i="7"/>
  <c r="D26" i="7"/>
  <c r="D25" i="7"/>
  <c r="D24" i="7"/>
  <c r="D23" i="7"/>
  <c r="D22" i="7"/>
  <c r="D21" i="7"/>
  <c r="D20" i="7"/>
  <c r="D19" i="7"/>
  <c r="D18" i="7"/>
  <c r="D17" i="7"/>
  <c r="D16" i="7"/>
  <c r="D15" i="7"/>
  <c r="AV29" i="7"/>
  <c r="AV26" i="7"/>
  <c r="AV23" i="7"/>
  <c r="AV20" i="7"/>
  <c r="AV17" i="7"/>
  <c r="AV14" i="7"/>
  <c r="AW9" i="7"/>
  <c r="AW6" i="7"/>
  <c r="AW12" i="7"/>
  <c r="D12" i="7"/>
  <c r="AV10" i="7"/>
  <c r="D9" i="7"/>
  <c r="AV7" i="7"/>
  <c r="AW13" i="7"/>
  <c r="D6" i="7"/>
  <c r="AW24" i="7"/>
  <c r="AW21" i="7"/>
  <c r="AW18" i="7"/>
  <c r="AW15" i="7"/>
  <c r="AV13" i="7"/>
  <c r="AW4" i="7"/>
  <c r="AV24" i="7"/>
  <c r="AV21" i="7"/>
  <c r="AV18" i="7"/>
  <c r="AV15" i="7"/>
  <c r="AW11" i="7"/>
  <c r="AW8" i="7"/>
  <c r="AV4" i="7"/>
  <c r="AV11" i="7"/>
  <c r="D10" i="7"/>
  <c r="AV8" i="7"/>
  <c r="D7" i="7"/>
  <c r="AW5" i="7"/>
  <c r="AW28" i="7"/>
  <c r="AW27" i="7"/>
  <c r="D13" i="7"/>
  <c r="AV5" i="7"/>
  <c r="AW29" i="7"/>
  <c r="AV28" i="7"/>
  <c r="AV27" i="7"/>
  <c r="AW26" i="7"/>
  <c r="AW23" i="7"/>
  <c r="AW20" i="7"/>
  <c r="AW17" i="7"/>
  <c r="AW14" i="7"/>
  <c r="AW16" i="7"/>
  <c r="AV9" i="7"/>
  <c r="D14" i="7"/>
  <c r="AV6" i="7"/>
  <c r="AW7" i="7"/>
  <c r="D5" i="7"/>
  <c r="AW19" i="7"/>
  <c r="AV19" i="7"/>
  <c r="AW25" i="7"/>
  <c r="AV25" i="7"/>
  <c r="AV22" i="7"/>
  <c r="D8" i="7"/>
  <c r="D4" i="7"/>
  <c r="AV12" i="7"/>
  <c r="C23" i="4"/>
  <c r="AV16" i="7"/>
  <c r="AW22" i="7"/>
  <c r="D11" i="7"/>
  <c r="AW10" i="7"/>
  <c r="D23" i="3"/>
  <c r="B26" i="2"/>
  <c r="M60" i="2"/>
  <c r="Z60" i="2"/>
  <c r="Z67" i="2" s="1"/>
  <c r="M61" i="2"/>
  <c r="M68" i="2" s="1"/>
  <c r="Z61" i="2"/>
  <c r="Z68" i="2" s="1"/>
  <c r="E66" i="2"/>
  <c r="S66" i="2"/>
  <c r="G67" i="2"/>
  <c r="K68" i="2"/>
  <c r="O69" i="2"/>
  <c r="G75" i="2"/>
  <c r="N76" i="2"/>
  <c r="J85" i="2"/>
  <c r="J87" i="2" s="1"/>
  <c r="J92" i="2" s="1"/>
  <c r="U104" i="2"/>
  <c r="U105" i="2" s="1"/>
  <c r="U106" i="2" s="1"/>
  <c r="V13" i="4" s="1"/>
  <c r="AA110" i="2"/>
  <c r="F8" i="3"/>
  <c r="F9" i="3" s="1"/>
  <c r="AS13" i="7"/>
  <c r="M66" i="3"/>
  <c r="D44" i="5" s="1"/>
  <c r="AS25" i="7"/>
  <c r="Y66" i="3"/>
  <c r="N8" i="4"/>
  <c r="N9" i="4" s="1"/>
  <c r="J75" i="2"/>
  <c r="O60" i="2"/>
  <c r="O67" i="2" s="1"/>
  <c r="M8" i="3"/>
  <c r="M9" i="3" s="1"/>
  <c r="Q69" i="2"/>
  <c r="E69" i="2"/>
  <c r="T75" i="2"/>
  <c r="H75" i="2"/>
  <c r="P69" i="2"/>
  <c r="D69" i="2"/>
  <c r="P61" i="2"/>
  <c r="P68" i="2" s="1"/>
  <c r="D61" i="2"/>
  <c r="D68" i="2" s="1"/>
  <c r="V69" i="2"/>
  <c r="J69" i="2"/>
  <c r="V59" i="4"/>
  <c r="J59" i="4"/>
  <c r="P11" i="7" s="1"/>
  <c r="U59" i="4"/>
  <c r="P22" i="7" s="1"/>
  <c r="I59" i="4"/>
  <c r="P10" i="7" s="1"/>
  <c r="P59" i="4"/>
  <c r="P17" i="7" s="1"/>
  <c r="O59" i="4"/>
  <c r="P16" i="7" s="1"/>
  <c r="Y59" i="4"/>
  <c r="P26" i="7" s="1"/>
  <c r="K59" i="4"/>
  <c r="P12" i="7" s="1"/>
  <c r="X59" i="4"/>
  <c r="P25" i="7" s="1"/>
  <c r="H59" i="4"/>
  <c r="P9" i="7" s="1"/>
  <c r="W59" i="4"/>
  <c r="P24" i="7" s="1"/>
  <c r="G59" i="4"/>
  <c r="T59" i="4"/>
  <c r="P21" i="7" s="1"/>
  <c r="F59" i="4"/>
  <c r="P7" i="7" s="1"/>
  <c r="N59" i="4"/>
  <c r="P15" i="7" s="1"/>
  <c r="M59" i="4"/>
  <c r="P14" i="7" s="1"/>
  <c r="L59" i="4"/>
  <c r="C59" i="4"/>
  <c r="P4" i="7" s="1"/>
  <c r="AB59" i="4"/>
  <c r="P29" i="7" s="1"/>
  <c r="AA59" i="4"/>
  <c r="P28" i="7" s="1"/>
  <c r="Z59" i="4"/>
  <c r="P27" i="7" s="1"/>
  <c r="S59" i="4"/>
  <c r="P20" i="7" s="1"/>
  <c r="R59" i="4"/>
  <c r="P19" i="7" s="1"/>
  <c r="Q59" i="4"/>
  <c r="E59" i="4"/>
  <c r="P6" i="7" s="1"/>
  <c r="D59" i="4"/>
  <c r="P5" i="7" s="1"/>
  <c r="C60" i="2"/>
  <c r="C67" i="2" s="1"/>
  <c r="Q61" i="2"/>
  <c r="Q68" i="2" s="1"/>
  <c r="X66" i="2"/>
  <c r="C69" i="2"/>
  <c r="E10" i="8"/>
  <c r="W10" i="4"/>
  <c r="W11" i="4" s="1"/>
  <c r="K10" i="4"/>
  <c r="K11" i="4" s="1"/>
  <c r="T10" i="4"/>
  <c r="T11" i="4" s="1"/>
  <c r="G10" i="4"/>
  <c r="G11" i="4" s="1"/>
  <c r="S10" i="4"/>
  <c r="S11" i="4" s="1"/>
  <c r="F10" i="4"/>
  <c r="F11" i="4" s="1"/>
  <c r="R10" i="4"/>
  <c r="R11" i="4" s="1"/>
  <c r="E10" i="4"/>
  <c r="E11" i="4" s="1"/>
  <c r="AB10" i="4"/>
  <c r="AB11" i="4" s="1"/>
  <c r="V10" i="4"/>
  <c r="V11" i="4" s="1"/>
  <c r="C10" i="4"/>
  <c r="C11" i="4" s="1"/>
  <c r="U10" i="4"/>
  <c r="U11" i="4" s="1"/>
  <c r="AC10" i="3"/>
  <c r="AC11" i="3" s="1"/>
  <c r="Q10" i="3"/>
  <c r="Q11" i="3" s="1"/>
  <c r="E10" i="3"/>
  <c r="E11" i="3" s="1"/>
  <c r="Q10" i="4"/>
  <c r="Q11" i="4" s="1"/>
  <c r="AB10" i="3"/>
  <c r="AB11" i="3" s="1"/>
  <c r="P10" i="3"/>
  <c r="P11" i="3" s="1"/>
  <c r="D10" i="3"/>
  <c r="D11" i="3" s="1"/>
  <c r="M10" i="4"/>
  <c r="M11" i="4" s="1"/>
  <c r="L10" i="4"/>
  <c r="L11" i="4" s="1"/>
  <c r="AA10" i="4"/>
  <c r="AA11" i="4" s="1"/>
  <c r="J10" i="4"/>
  <c r="J11" i="4" s="1"/>
  <c r="Y10" i="4"/>
  <c r="Y11" i="4" s="1"/>
  <c r="H10" i="4"/>
  <c r="H11" i="4" s="1"/>
  <c r="X10" i="4"/>
  <c r="X11" i="4" s="1"/>
  <c r="D10" i="4"/>
  <c r="D11" i="4" s="1"/>
  <c r="Z10" i="4"/>
  <c r="Z11" i="4" s="1"/>
  <c r="R10" i="3"/>
  <c r="R11" i="3" s="1"/>
  <c r="P10" i="4"/>
  <c r="P11" i="4" s="1"/>
  <c r="O10" i="3"/>
  <c r="O11" i="3" s="1"/>
  <c r="O10" i="4"/>
  <c r="O11" i="4" s="1"/>
  <c r="N10" i="3"/>
  <c r="N11" i="3" s="1"/>
  <c r="Y10" i="3"/>
  <c r="Y11" i="3" s="1"/>
  <c r="K10" i="3"/>
  <c r="K11" i="3" s="1"/>
  <c r="X10" i="3"/>
  <c r="X11" i="3" s="1"/>
  <c r="J10" i="3"/>
  <c r="J11" i="3" s="1"/>
  <c r="W10" i="3"/>
  <c r="W11" i="3" s="1"/>
  <c r="I10" i="3"/>
  <c r="I11" i="3" s="1"/>
  <c r="V10" i="3"/>
  <c r="V11" i="3" s="1"/>
  <c r="H10" i="3"/>
  <c r="H11" i="3" s="1"/>
  <c r="U10" i="3"/>
  <c r="U11" i="3" s="1"/>
  <c r="G10" i="3"/>
  <c r="G11" i="3" s="1"/>
  <c r="T10" i="3"/>
  <c r="T11" i="3" s="1"/>
  <c r="F10" i="3"/>
  <c r="F11" i="3" s="1"/>
  <c r="S10" i="3"/>
  <c r="S11" i="3" s="1"/>
  <c r="D60" i="4"/>
  <c r="C60" i="4"/>
  <c r="N4" i="7" s="1"/>
  <c r="C41" i="4"/>
  <c r="C38" i="4"/>
  <c r="D41" i="4"/>
  <c r="D44" i="4" s="1"/>
  <c r="D38" i="4"/>
  <c r="B32" i="2"/>
  <c r="D60" i="2"/>
  <c r="D65" i="2" s="1"/>
  <c r="Q60" i="2"/>
  <c r="Q67" i="2" s="1"/>
  <c r="E61" i="2"/>
  <c r="E68" i="2" s="1"/>
  <c r="R61" i="2"/>
  <c r="R68" i="2" s="1"/>
  <c r="G65" i="2"/>
  <c r="I66" i="2"/>
  <c r="Y66" i="2"/>
  <c r="M67" i="2"/>
  <c r="AA67" i="2"/>
  <c r="O68" i="2"/>
  <c r="F69" i="2"/>
  <c r="U69" i="2"/>
  <c r="M75" i="2"/>
  <c r="T76" i="2"/>
  <c r="S85" i="2"/>
  <c r="S87" i="2" s="1"/>
  <c r="S92" i="2" s="1"/>
  <c r="C104" i="2"/>
  <c r="C105" i="2" s="1"/>
  <c r="C106" i="2" s="1"/>
  <c r="D13" i="4" s="1"/>
  <c r="N111" i="2"/>
  <c r="W8" i="3"/>
  <c r="W9" i="3" s="1"/>
  <c r="E13" i="3"/>
  <c r="U66" i="2"/>
  <c r="P60" i="2"/>
  <c r="P67" i="2" s="1"/>
  <c r="V8" i="3"/>
  <c r="V9" i="3" s="1"/>
  <c r="C36" i="1"/>
  <c r="K75" i="2" s="1"/>
  <c r="B7" i="2"/>
  <c r="E60" i="2"/>
  <c r="E65" i="2" s="1"/>
  <c r="S60" i="2"/>
  <c r="S65" i="2" s="1"/>
  <c r="F61" i="2"/>
  <c r="F68" i="2" s="1"/>
  <c r="S61" i="2"/>
  <c r="S68" i="2" s="1"/>
  <c r="H65" i="2"/>
  <c r="V65" i="2"/>
  <c r="L66" i="2"/>
  <c r="Z66" i="2"/>
  <c r="N67" i="2"/>
  <c r="B68" i="2"/>
  <c r="G69" i="2"/>
  <c r="W69" i="2"/>
  <c r="O75" i="2"/>
  <c r="D76" i="2"/>
  <c r="U76" i="2"/>
  <c r="U85" i="2"/>
  <c r="U87" i="2" s="1"/>
  <c r="U92" i="2" s="1"/>
  <c r="D104" i="2"/>
  <c r="D105" i="2" s="1"/>
  <c r="D106" i="2" s="1"/>
  <c r="E13" i="4" s="1"/>
  <c r="G110" i="2"/>
  <c r="T111" i="2"/>
  <c r="R13" i="3"/>
  <c r="AS5" i="7"/>
  <c r="E66" i="3"/>
  <c r="AS17" i="7"/>
  <c r="Q66" i="3"/>
  <c r="AS29" i="7"/>
  <c r="AC66" i="3"/>
  <c r="AS19" i="7"/>
  <c r="S66" i="3"/>
  <c r="AH4" i="7"/>
  <c r="D52" i="4"/>
  <c r="AS9" i="7"/>
  <c r="AS21" i="7"/>
  <c r="G66" i="3"/>
  <c r="H66" i="3"/>
  <c r="C44" i="5" s="1"/>
  <c r="AS14" i="7"/>
  <c r="AS26" i="7"/>
  <c r="Z66" i="3"/>
  <c r="AS15" i="7"/>
  <c r="O66" i="3"/>
  <c r="AS27" i="7"/>
  <c r="AA66" i="3"/>
  <c r="T66" i="3"/>
  <c r="AS4" i="7"/>
  <c r="D27" i="3"/>
  <c r="D66" i="3"/>
  <c r="AS16" i="7"/>
  <c r="AS28" i="7"/>
  <c r="AB66" i="3"/>
  <c r="U66" i="3"/>
  <c r="D47" i="4"/>
  <c r="R66" i="3"/>
  <c r="E44" i="5" s="1"/>
  <c r="F66" i="3"/>
  <c r="E4" i="7"/>
  <c r="D43" i="4"/>
  <c r="AS10" i="7"/>
  <c r="J66" i="3"/>
  <c r="AS22" i="7"/>
  <c r="V66" i="3"/>
  <c r="K66" i="3"/>
  <c r="X66" i="3"/>
  <c r="L66" i="3"/>
  <c r="AG4" i="7"/>
  <c r="C79" i="4"/>
  <c r="D51" i="4"/>
  <c r="H60" i="4" l="1"/>
  <c r="N9" i="7" s="1"/>
  <c r="F10" i="5"/>
  <c r="E60" i="4"/>
  <c r="N6" i="7" s="1"/>
  <c r="E39" i="5"/>
  <c r="P18" i="7"/>
  <c r="C39" i="5"/>
  <c r="P8" i="7"/>
  <c r="Y76" i="2"/>
  <c r="C16" i="7"/>
  <c r="O19" i="4"/>
  <c r="O20" i="4"/>
  <c r="C27" i="7"/>
  <c r="Z20" i="4"/>
  <c r="Z19" i="4"/>
  <c r="AB17" i="7"/>
  <c r="AT17" i="7"/>
  <c r="Q20" i="3"/>
  <c r="AQ17" i="7" s="1"/>
  <c r="Q19" i="3"/>
  <c r="C9" i="7"/>
  <c r="H19" i="4"/>
  <c r="H20" i="4"/>
  <c r="B4" i="7"/>
  <c r="C15" i="4"/>
  <c r="C16" i="4"/>
  <c r="C108" i="2"/>
  <c r="D76" i="4" s="1"/>
  <c r="E10" i="5"/>
  <c r="E76" i="2"/>
  <c r="D62" i="4"/>
  <c r="C7" i="7"/>
  <c r="F20" i="4"/>
  <c r="F19" i="4"/>
  <c r="C5" i="7"/>
  <c r="D19" i="4"/>
  <c r="D20" i="4"/>
  <c r="C10" i="5"/>
  <c r="E76" i="8"/>
  <c r="E33" i="8"/>
  <c r="C65" i="2"/>
  <c r="I60" i="4"/>
  <c r="N10" i="7" s="1"/>
  <c r="I75" i="2"/>
  <c r="R75" i="2"/>
  <c r="O65" i="2"/>
  <c r="D67" i="2"/>
  <c r="AB21" i="7"/>
  <c r="AT21" i="7"/>
  <c r="U20" i="3"/>
  <c r="AQ21" i="7" s="1"/>
  <c r="U19" i="3"/>
  <c r="C11" i="7"/>
  <c r="J20" i="4"/>
  <c r="J19" i="4"/>
  <c r="AB29" i="7"/>
  <c r="AT29" i="7"/>
  <c r="AC20" i="3"/>
  <c r="AQ29" i="7" s="1"/>
  <c r="AC19" i="3"/>
  <c r="C22" i="7"/>
  <c r="U19" i="4"/>
  <c r="U20" i="4"/>
  <c r="AA75" i="2"/>
  <c r="C9" i="5"/>
  <c r="D9" i="5"/>
  <c r="AB22" i="7"/>
  <c r="AT22" i="7"/>
  <c r="V19" i="3"/>
  <c r="V20" i="3"/>
  <c r="AQ22" i="7" s="1"/>
  <c r="P75" i="2"/>
  <c r="AT10" i="7"/>
  <c r="AB10" i="7"/>
  <c r="J19" i="3"/>
  <c r="J20" i="3"/>
  <c r="AQ10" i="7" s="1"/>
  <c r="P65" i="2"/>
  <c r="P23" i="7"/>
  <c r="F39" i="5"/>
  <c r="AH5" i="7"/>
  <c r="E52" i="4"/>
  <c r="C79" i="1"/>
  <c r="B75" i="2"/>
  <c r="U75" i="2"/>
  <c r="C75" i="2"/>
  <c r="L76" i="2"/>
  <c r="K76" i="2"/>
  <c r="C18" i="7"/>
  <c r="Q20" i="4"/>
  <c r="Q19" i="4"/>
  <c r="C29" i="7"/>
  <c r="AB20" i="4"/>
  <c r="AB19" i="4"/>
  <c r="C23" i="7"/>
  <c r="V20" i="4"/>
  <c r="V19" i="4"/>
  <c r="C12" i="7"/>
  <c r="K20" i="4"/>
  <c r="K19" i="4"/>
  <c r="T4" i="7"/>
  <c r="C24" i="4"/>
  <c r="C36" i="4" s="1"/>
  <c r="AB15" i="7"/>
  <c r="AT15" i="7"/>
  <c r="O19" i="3"/>
  <c r="O20" i="3"/>
  <c r="AQ15" i="7" s="1"/>
  <c r="B37" i="2"/>
  <c r="B36" i="2"/>
  <c r="AB28" i="7"/>
  <c r="AT28" i="7"/>
  <c r="AB19" i="3"/>
  <c r="AB20" i="3"/>
  <c r="AQ28" i="7" s="1"/>
  <c r="F60" i="4"/>
  <c r="N7" i="7" s="1"/>
  <c r="Y71" i="2"/>
  <c r="M71" i="2"/>
  <c r="AA62" i="2"/>
  <c r="AA70" i="2" s="1"/>
  <c r="AA72" i="2" s="1"/>
  <c r="AA78" i="2" s="1"/>
  <c r="O62" i="2"/>
  <c r="O70" i="2" s="1"/>
  <c r="X71" i="2"/>
  <c r="L71" i="2"/>
  <c r="Z62" i="2"/>
  <c r="Z70" i="2" s="1"/>
  <c r="N62" i="2"/>
  <c r="N70" i="2" s="1"/>
  <c r="B62" i="2"/>
  <c r="B70" i="2" s="1"/>
  <c r="R71" i="2"/>
  <c r="F71" i="2"/>
  <c r="S71" i="2"/>
  <c r="C71" i="2"/>
  <c r="T62" i="2"/>
  <c r="T70" i="2" s="1"/>
  <c r="T72" i="2" s="1"/>
  <c r="T78" i="2" s="1"/>
  <c r="F62" i="2"/>
  <c r="F70" i="2" s="1"/>
  <c r="S62" i="2"/>
  <c r="S70" i="2" s="1"/>
  <c r="P71" i="2"/>
  <c r="D62" i="2"/>
  <c r="D70" i="2" s="1"/>
  <c r="D72" i="2" s="1"/>
  <c r="D78" i="2" s="1"/>
  <c r="N71" i="2"/>
  <c r="P62" i="2"/>
  <c r="P70" i="2" s="1"/>
  <c r="Q71" i="2"/>
  <c r="B71" i="2"/>
  <c r="E5" i="10" s="1"/>
  <c r="E62" i="2"/>
  <c r="E70" i="2" s="1"/>
  <c r="E72" i="2" s="1"/>
  <c r="E78" i="2" s="1"/>
  <c r="O71" i="2"/>
  <c r="Q62" i="2"/>
  <c r="Q70" i="2" s="1"/>
  <c r="K71" i="2"/>
  <c r="M62" i="2"/>
  <c r="M70" i="2" s="1"/>
  <c r="M72" i="2" s="1"/>
  <c r="M78" i="2" s="1"/>
  <c r="V71" i="2"/>
  <c r="W62" i="2"/>
  <c r="W70" i="2" s="1"/>
  <c r="E22" i="10"/>
  <c r="AA71" i="2"/>
  <c r="J71" i="2"/>
  <c r="L62" i="2"/>
  <c r="L70" i="2" s="1"/>
  <c r="B25" i="2"/>
  <c r="Z71" i="2"/>
  <c r="I71" i="2"/>
  <c r="Y62" i="2"/>
  <c r="Y70" i="2" s="1"/>
  <c r="Y72" i="2" s="1"/>
  <c r="Y78" i="2" s="1"/>
  <c r="K62" i="2"/>
  <c r="K70" i="2" s="1"/>
  <c r="W71" i="2"/>
  <c r="H71" i="2"/>
  <c r="X62" i="2"/>
  <c r="X70" i="2" s="1"/>
  <c r="J62" i="2"/>
  <c r="J70" i="2" s="1"/>
  <c r="G71" i="2"/>
  <c r="I62" i="2"/>
  <c r="I70" i="2" s="1"/>
  <c r="C62" i="2"/>
  <c r="C70" i="2" s="1"/>
  <c r="U71" i="2"/>
  <c r="E71" i="2"/>
  <c r="V62" i="2"/>
  <c r="V70" i="2" s="1"/>
  <c r="V72" i="2" s="1"/>
  <c r="V78" i="2" s="1"/>
  <c r="H62" i="2"/>
  <c r="H70" i="2" s="1"/>
  <c r="T71" i="2"/>
  <c r="D71" i="2"/>
  <c r="U62" i="2"/>
  <c r="U70" i="2" s="1"/>
  <c r="G62" i="2"/>
  <c r="G70" i="2" s="1"/>
  <c r="G72" i="2" s="1"/>
  <c r="G78" i="2" s="1"/>
  <c r="R62" i="2"/>
  <c r="R70" i="2" s="1"/>
  <c r="U65" i="2"/>
  <c r="B76" i="2"/>
  <c r="N75" i="2"/>
  <c r="X76" i="2"/>
  <c r="V75" i="2"/>
  <c r="Z76" i="2"/>
  <c r="AT8" i="7"/>
  <c r="AB8" i="7"/>
  <c r="H20" i="3"/>
  <c r="AQ8" i="7" s="1"/>
  <c r="H19" i="3"/>
  <c r="C13" i="7"/>
  <c r="L20" i="4"/>
  <c r="L19" i="4"/>
  <c r="AB6" i="7"/>
  <c r="AT6" i="7"/>
  <c r="F19" i="3"/>
  <c r="F20" i="3"/>
  <c r="AQ6" i="7" s="1"/>
  <c r="C24" i="7"/>
  <c r="W19" i="4"/>
  <c r="W20" i="4"/>
  <c r="C17" i="7"/>
  <c r="P20" i="4"/>
  <c r="P19" i="4"/>
  <c r="H72" i="2"/>
  <c r="H78" i="2" s="1"/>
  <c r="G60" i="4"/>
  <c r="G62" i="4" s="1"/>
  <c r="C42" i="5" s="1"/>
  <c r="L75" i="2"/>
  <c r="Z75" i="2"/>
  <c r="D10" i="5"/>
  <c r="F76" i="2"/>
  <c r="E75" i="2"/>
  <c r="K67" i="2"/>
  <c r="K65" i="2"/>
  <c r="J76" i="2"/>
  <c r="N72" i="2"/>
  <c r="N78" i="2" s="1"/>
  <c r="AT11" i="7"/>
  <c r="AB11" i="7"/>
  <c r="K20" i="3"/>
  <c r="AQ11" i="7" s="1"/>
  <c r="K19" i="3"/>
  <c r="AB25" i="7"/>
  <c r="AT25" i="7"/>
  <c r="Y20" i="3"/>
  <c r="AQ25" i="7" s="1"/>
  <c r="Y19" i="3"/>
  <c r="AB12" i="7"/>
  <c r="AT12" i="7"/>
  <c r="L20" i="3"/>
  <c r="AQ12" i="7" s="1"/>
  <c r="L19" i="3"/>
  <c r="AB18" i="7"/>
  <c r="AT18" i="7"/>
  <c r="R19" i="3"/>
  <c r="R20" i="3"/>
  <c r="AQ18" i="7" s="1"/>
  <c r="H62" i="4"/>
  <c r="L65" i="2"/>
  <c r="L72" i="2" s="1"/>
  <c r="L78" i="2" s="1"/>
  <c r="X75" i="2"/>
  <c r="AB23" i="7"/>
  <c r="AT23" i="7"/>
  <c r="W19" i="3"/>
  <c r="W20" i="3"/>
  <c r="AQ23" i="7" s="1"/>
  <c r="E46" i="4"/>
  <c r="AB27" i="7"/>
  <c r="AT27" i="7"/>
  <c r="AA19" i="3"/>
  <c r="AA20" i="3"/>
  <c r="AQ27" i="7" s="1"/>
  <c r="N5" i="7"/>
  <c r="D61" i="4"/>
  <c r="Q65" i="2"/>
  <c r="Q72" i="2" s="1"/>
  <c r="E5" i="7"/>
  <c r="Y4" i="7"/>
  <c r="D65" i="3"/>
  <c r="D29" i="3"/>
  <c r="D37" i="3" s="1"/>
  <c r="Q76" i="2"/>
  <c r="C76" i="2"/>
  <c r="W67" i="2"/>
  <c r="W72" i="2" s="1"/>
  <c r="W78" i="2" s="1"/>
  <c r="AD4" i="7"/>
  <c r="D24" i="3"/>
  <c r="AR4" i="7" s="1"/>
  <c r="Y75" i="2"/>
  <c r="R76" i="2"/>
  <c r="S75" i="2"/>
  <c r="AB13" i="7"/>
  <c r="AT13" i="7"/>
  <c r="M20" i="3"/>
  <c r="AQ13" i="7" s="1"/>
  <c r="M19" i="3"/>
  <c r="AB9" i="7"/>
  <c r="AT9" i="7"/>
  <c r="I20" i="3"/>
  <c r="AQ9" i="7" s="1"/>
  <c r="I19" i="3"/>
  <c r="AB24" i="7"/>
  <c r="AT24" i="7"/>
  <c r="X20" i="3"/>
  <c r="AQ24" i="7" s="1"/>
  <c r="X19" i="3"/>
  <c r="C25" i="7"/>
  <c r="X19" i="4"/>
  <c r="X20" i="4"/>
  <c r="B92" i="2"/>
  <c r="F91" i="2"/>
  <c r="E91" i="2"/>
  <c r="B91" i="2"/>
  <c r="D91" i="2"/>
  <c r="C91" i="2"/>
  <c r="Z65" i="2"/>
  <c r="X65" i="2"/>
  <c r="X72" i="2" s="1"/>
  <c r="X78" i="2" s="1"/>
  <c r="P13" i="7"/>
  <c r="D39" i="5"/>
  <c r="AT4" i="7"/>
  <c r="AB4" i="7"/>
  <c r="D19" i="3"/>
  <c r="D20" i="3"/>
  <c r="AQ4" i="7" s="1"/>
  <c r="C10" i="7"/>
  <c r="I19" i="4"/>
  <c r="I20" i="4"/>
  <c r="AB16" i="7"/>
  <c r="AT16" i="7"/>
  <c r="P19" i="3"/>
  <c r="P20" i="3"/>
  <c r="AQ16" i="7" s="1"/>
  <c r="AB19" i="7"/>
  <c r="AT19" i="7"/>
  <c r="S19" i="3"/>
  <c r="S20" i="3"/>
  <c r="AQ19" i="7" s="1"/>
  <c r="C20" i="7"/>
  <c r="S20" i="4"/>
  <c r="S19" i="4"/>
  <c r="AG5" i="7"/>
  <c r="E51" i="4"/>
  <c r="V5" i="7"/>
  <c r="E47" i="4"/>
  <c r="G76" i="2"/>
  <c r="D75" i="2"/>
  <c r="AB14" i="7"/>
  <c r="AT14" i="7"/>
  <c r="N20" i="3"/>
  <c r="AQ14" i="7" s="1"/>
  <c r="N19" i="3"/>
  <c r="AB26" i="7"/>
  <c r="AT26" i="7"/>
  <c r="Z20" i="3"/>
  <c r="AQ26" i="7" s="1"/>
  <c r="Z19" i="3"/>
  <c r="C14" i="7"/>
  <c r="M19" i="4"/>
  <c r="M20" i="4"/>
  <c r="C4" i="7"/>
  <c r="C20" i="4"/>
  <c r="C19" i="4"/>
  <c r="C82" i="4"/>
  <c r="E9" i="5"/>
  <c r="W76" i="2"/>
  <c r="J65" i="2"/>
  <c r="J72" i="2" s="1"/>
  <c r="J78" i="2" s="1"/>
  <c r="AT7" i="7"/>
  <c r="AB7" i="7"/>
  <c r="G19" i="3"/>
  <c r="G20" i="3"/>
  <c r="AQ7" i="7" s="1"/>
  <c r="AA76" i="2"/>
  <c r="W75" i="2"/>
  <c r="S67" i="2"/>
  <c r="S72" i="2" s="1"/>
  <c r="S78" i="2" s="1"/>
  <c r="I76" i="2"/>
  <c r="C15" i="7"/>
  <c r="N19" i="4"/>
  <c r="N20" i="4"/>
  <c r="C26" i="7"/>
  <c r="Y19" i="4"/>
  <c r="Y20" i="4"/>
  <c r="C19" i="7"/>
  <c r="R20" i="4"/>
  <c r="R19" i="4"/>
  <c r="C8" i="7"/>
  <c r="G20" i="4"/>
  <c r="G19" i="4"/>
  <c r="E62" i="4"/>
  <c r="F9" i="5"/>
  <c r="I65" i="2"/>
  <c r="I72" i="2" s="1"/>
  <c r="I78" i="2" s="1"/>
  <c r="F72" i="2"/>
  <c r="F78" i="2" s="1"/>
  <c r="B72" i="2"/>
  <c r="B78" i="2" s="1"/>
  <c r="C22" i="4" s="1"/>
  <c r="C62" i="4"/>
  <c r="F75" i="2"/>
  <c r="AB20" i="7"/>
  <c r="AT20" i="7"/>
  <c r="T20" i="3"/>
  <c r="AQ20" i="7" s="1"/>
  <c r="T19" i="3"/>
  <c r="C6" i="7"/>
  <c r="E20" i="4"/>
  <c r="E19" i="4"/>
  <c r="AT5" i="7"/>
  <c r="AB5" i="7"/>
  <c r="E20" i="3"/>
  <c r="AQ5" i="7" s="1"/>
  <c r="E19" i="3"/>
  <c r="C21" i="7"/>
  <c r="T19" i="4"/>
  <c r="T20" i="4"/>
  <c r="AM4" i="7"/>
  <c r="AA4" i="7"/>
  <c r="E14" i="3"/>
  <c r="D15" i="3"/>
  <c r="D16" i="3"/>
  <c r="D36" i="3"/>
  <c r="I62" i="4"/>
  <c r="V76" i="2"/>
  <c r="R72" i="2"/>
  <c r="R78" i="2" s="1"/>
  <c r="AP4" i="7" l="1"/>
  <c r="D26" i="3"/>
  <c r="E27" i="3" s="1"/>
  <c r="L4" i="7"/>
  <c r="C65" i="4"/>
  <c r="C48" i="4"/>
  <c r="C27" i="4"/>
  <c r="AH6" i="7"/>
  <c r="F52" i="4"/>
  <c r="C27" i="1"/>
  <c r="C71" i="4"/>
  <c r="C81" i="4" s="1"/>
  <c r="F46" i="4"/>
  <c r="U72" i="2"/>
  <c r="U78" i="2" s="1"/>
  <c r="K72" i="2"/>
  <c r="K78" i="2" s="1"/>
  <c r="Z72" i="2"/>
  <c r="Z78" i="2" s="1"/>
  <c r="Q78" i="2"/>
  <c r="C77" i="4"/>
  <c r="C26" i="4"/>
  <c r="F62" i="4"/>
  <c r="V6" i="7"/>
  <c r="F47" i="4"/>
  <c r="N8" i="7"/>
  <c r="C40" i="5"/>
  <c r="P72" i="2"/>
  <c r="P78" i="2" s="1"/>
  <c r="M5" i="7"/>
  <c r="E61" i="4"/>
  <c r="C72" i="2"/>
  <c r="C78" i="2" s="1"/>
  <c r="D22" i="4" s="1"/>
  <c r="AG6" i="7"/>
  <c r="E53" i="4"/>
  <c r="E80" i="4" s="1"/>
  <c r="F51" i="4"/>
  <c r="O72" i="2"/>
  <c r="O78" i="2" s="1"/>
  <c r="AM5" i="7"/>
  <c r="AA5" i="7"/>
  <c r="E15" i="3"/>
  <c r="E16" i="3"/>
  <c r="F14" i="3"/>
  <c r="E52" i="8"/>
  <c r="T34" i="4"/>
  <c r="H34" i="4"/>
  <c r="W34" i="4"/>
  <c r="J34" i="4"/>
  <c r="V34" i="4"/>
  <c r="I34" i="4"/>
  <c r="U34" i="4"/>
  <c r="G34" i="4"/>
  <c r="Q34" i="4"/>
  <c r="D34" i="4"/>
  <c r="P34" i="4"/>
  <c r="C34" i="4"/>
  <c r="AB34" i="4"/>
  <c r="O34" i="4"/>
  <c r="AA34" i="4"/>
  <c r="N34" i="4"/>
  <c r="Z34" i="4"/>
  <c r="M34" i="4"/>
  <c r="R34" i="4"/>
  <c r="AB34" i="3"/>
  <c r="AB35" i="3" s="1"/>
  <c r="P34" i="3"/>
  <c r="P35" i="3" s="1"/>
  <c r="D34" i="3"/>
  <c r="D35" i="3" s="1"/>
  <c r="L34" i="4"/>
  <c r="AA34" i="3"/>
  <c r="AA35" i="3" s="1"/>
  <c r="O34" i="3"/>
  <c r="O35" i="3" s="1"/>
  <c r="K34" i="4"/>
  <c r="Z34" i="3"/>
  <c r="Z35" i="3" s="1"/>
  <c r="N34" i="3"/>
  <c r="N35" i="3" s="1"/>
  <c r="V34" i="3"/>
  <c r="V35" i="3" s="1"/>
  <c r="J34" i="3"/>
  <c r="J35" i="3" s="1"/>
  <c r="U34" i="3"/>
  <c r="U35" i="3" s="1"/>
  <c r="I34" i="3"/>
  <c r="I35" i="3" s="1"/>
  <c r="T34" i="3"/>
  <c r="T35" i="3" s="1"/>
  <c r="H34" i="3"/>
  <c r="H35" i="3" s="1"/>
  <c r="X34" i="4"/>
  <c r="R34" i="3"/>
  <c r="R35" i="3" s="1"/>
  <c r="F34" i="3"/>
  <c r="F35" i="3" s="1"/>
  <c r="S34" i="4"/>
  <c r="M34" i="3"/>
  <c r="M35" i="3" s="1"/>
  <c r="Y34" i="4"/>
  <c r="L34" i="3"/>
  <c r="L35" i="3" s="1"/>
  <c r="F34" i="4"/>
  <c r="K34" i="3"/>
  <c r="K35" i="3" s="1"/>
  <c r="AC34" i="3"/>
  <c r="AC35" i="3" s="1"/>
  <c r="Y34" i="3"/>
  <c r="Y35" i="3" s="1"/>
  <c r="X34" i="3"/>
  <c r="X35" i="3" s="1"/>
  <c r="W34" i="3"/>
  <c r="W35" i="3" s="1"/>
  <c r="S34" i="3"/>
  <c r="S35" i="3" s="1"/>
  <c r="Q34" i="3"/>
  <c r="Q35" i="3" s="1"/>
  <c r="E34" i="4"/>
  <c r="E34" i="3"/>
  <c r="E35" i="3" s="1"/>
  <c r="G34" i="3"/>
  <c r="G35" i="3" s="1"/>
  <c r="C62" i="1"/>
  <c r="E28" i="3" s="1"/>
  <c r="C39" i="1"/>
  <c r="D39" i="3" s="1"/>
  <c r="R8" i="7" l="1"/>
  <c r="R9" i="7"/>
  <c r="R19" i="7"/>
  <c r="C30" i="4"/>
  <c r="R22" i="7"/>
  <c r="R7" i="7"/>
  <c r="R14" i="7"/>
  <c r="R10" i="7"/>
  <c r="D28" i="4"/>
  <c r="E22" i="4" s="1"/>
  <c r="C53" i="4"/>
  <c r="C80" i="4" s="1"/>
  <c r="D53" i="4"/>
  <c r="D80" i="4" s="1"/>
  <c r="R6" i="7"/>
  <c r="AH7" i="7"/>
  <c r="G52" i="4"/>
  <c r="R16" i="7"/>
  <c r="R27" i="7"/>
  <c r="R26" i="7"/>
  <c r="R15" i="7"/>
  <c r="R11" i="7"/>
  <c r="C39" i="4"/>
  <c r="R20" i="7"/>
  <c r="R23" i="7"/>
  <c r="R28" i="7"/>
  <c r="R24" i="7"/>
  <c r="D30" i="3"/>
  <c r="D31" i="3" s="1"/>
  <c r="D32" i="3" s="1"/>
  <c r="D50" i="3" s="1"/>
  <c r="V7" i="7"/>
  <c r="G47" i="4"/>
  <c r="AG7" i="7"/>
  <c r="F53" i="4"/>
  <c r="F80" i="4" s="1"/>
  <c r="G51" i="4"/>
  <c r="AL25" i="7"/>
  <c r="AL22" i="7"/>
  <c r="AL19" i="7"/>
  <c r="AL16" i="7"/>
  <c r="AL11" i="7"/>
  <c r="AL8" i="7"/>
  <c r="AL4" i="7"/>
  <c r="AL29" i="7"/>
  <c r="AL28" i="7"/>
  <c r="AL27" i="7"/>
  <c r="AK4" i="7"/>
  <c r="AL5" i="7"/>
  <c r="AL26" i="7"/>
  <c r="AL23" i="7"/>
  <c r="AL20" i="7"/>
  <c r="AL17" i="7"/>
  <c r="AL14" i="7"/>
  <c r="AK5" i="7"/>
  <c r="AL9" i="7"/>
  <c r="AL6" i="7"/>
  <c r="I4" i="7"/>
  <c r="AL12" i="7"/>
  <c r="AL21" i="7"/>
  <c r="AL18" i="7"/>
  <c r="AL10" i="7"/>
  <c r="AL24" i="7"/>
  <c r="AL7" i="7"/>
  <c r="AL15" i="7"/>
  <c r="C64" i="4"/>
  <c r="AL13" i="7"/>
  <c r="D14" i="4"/>
  <c r="R13" i="7"/>
  <c r="R17" i="7"/>
  <c r="AM6" i="7"/>
  <c r="AA6" i="7"/>
  <c r="F16" i="3"/>
  <c r="F15" i="3"/>
  <c r="R5" i="7"/>
  <c r="D35" i="4"/>
  <c r="L5" i="7"/>
  <c r="D65" i="4"/>
  <c r="D27" i="4"/>
  <c r="D48" i="4"/>
  <c r="U4" i="7"/>
  <c r="D29" i="4"/>
  <c r="C29" i="4"/>
  <c r="K4" i="7" s="1"/>
  <c r="G46" i="4"/>
  <c r="Y5" i="7"/>
  <c r="E65" i="3"/>
  <c r="E29" i="3"/>
  <c r="E37" i="3" s="1"/>
  <c r="E40" i="3" s="1"/>
  <c r="R12" i="7"/>
  <c r="R29" i="7"/>
  <c r="R21" i="7"/>
  <c r="W4" i="7"/>
  <c r="C78" i="4"/>
  <c r="C84" i="4" s="1"/>
  <c r="R4" i="7"/>
  <c r="C35" i="4"/>
  <c r="R25" i="7"/>
  <c r="R18" i="7"/>
  <c r="AP5" i="7"/>
  <c r="M6" i="7"/>
  <c r="F61" i="4"/>
  <c r="C86" i="4" l="1"/>
  <c r="C85" i="4"/>
  <c r="V8" i="7"/>
  <c r="K5" i="7"/>
  <c r="D37" i="4"/>
  <c r="AP6" i="7"/>
  <c r="X4" i="7"/>
  <c r="C31" i="4"/>
  <c r="C32" i="4" s="1"/>
  <c r="M7" i="7"/>
  <c r="G61" i="4"/>
  <c r="W5" i="7"/>
  <c r="D78" i="4"/>
  <c r="I5" i="7"/>
  <c r="D64" i="4"/>
  <c r="L6" i="7"/>
  <c r="E48" i="4"/>
  <c r="E23" i="3"/>
  <c r="AG8" i="7"/>
  <c r="G53" i="4"/>
  <c r="G80" i="4" s="1"/>
  <c r="AH8" i="7"/>
  <c r="C38" i="5"/>
  <c r="C36" i="5"/>
  <c r="B5" i="7"/>
  <c r="E14" i="4"/>
  <c r="D15" i="4"/>
  <c r="D16" i="4"/>
  <c r="D108" i="2"/>
  <c r="E76" i="4" s="1"/>
  <c r="S4" i="7"/>
  <c r="Z4" i="7"/>
  <c r="AD5" i="7" l="1"/>
  <c r="E24" i="3"/>
  <c r="E30" i="3"/>
  <c r="E31" i="3" s="1"/>
  <c r="E32" i="3" s="1"/>
  <c r="E50" i="3" s="1"/>
  <c r="E51" i="3" s="1"/>
  <c r="E39" i="3"/>
  <c r="H61" i="4"/>
  <c r="C41" i="5"/>
  <c r="M8" i="7"/>
  <c r="W6" i="7"/>
  <c r="E78" i="4"/>
  <c r="J4" i="7"/>
  <c r="C49" i="4"/>
  <c r="D68" i="4"/>
  <c r="D40" i="4"/>
  <c r="D77" i="4"/>
  <c r="B6" i="7"/>
  <c r="E16" i="4"/>
  <c r="E15" i="4"/>
  <c r="E108" i="2"/>
  <c r="F76" i="4" s="1"/>
  <c r="M9" i="7" l="1"/>
  <c r="I61" i="4"/>
  <c r="AR5" i="7"/>
  <c r="E36" i="3"/>
  <c r="F28" i="3" s="1"/>
  <c r="E26" i="3"/>
  <c r="F27" i="3" s="1"/>
  <c r="E77" i="4"/>
  <c r="D69" i="4"/>
  <c r="D79" i="4" s="1"/>
  <c r="D23" i="4"/>
  <c r="M10" i="7" l="1"/>
  <c r="D24" i="4"/>
  <c r="T5" i="7"/>
  <c r="D30" i="4"/>
  <c r="D39" i="4"/>
  <c r="Y6" i="7"/>
  <c r="F65" i="3"/>
  <c r="F29" i="3"/>
  <c r="F37" i="3" s="1"/>
  <c r="F40" i="3" s="1"/>
  <c r="G14" i="3"/>
  <c r="AK6" i="7"/>
  <c r="F23" i="3" l="1"/>
  <c r="S5" i="7"/>
  <c r="Z5" i="7"/>
  <c r="AM7" i="7"/>
  <c r="AA7" i="7"/>
  <c r="G16" i="3"/>
  <c r="G15" i="3"/>
  <c r="X5" i="7"/>
  <c r="D31" i="4"/>
  <c r="D32" i="4" s="1"/>
  <c r="D36" i="4"/>
  <c r="E28" i="4" s="1"/>
  <c r="J5" i="7" l="1"/>
  <c r="D49" i="4"/>
  <c r="AP7" i="7"/>
  <c r="AD6" i="7"/>
  <c r="F24" i="3"/>
  <c r="F39" i="3"/>
  <c r="F30" i="3"/>
  <c r="F31" i="3" s="1"/>
  <c r="F32" i="3" s="1"/>
  <c r="F50" i="3" s="1"/>
  <c r="F51" i="3" s="1"/>
  <c r="F22" i="4"/>
  <c r="E35" i="4"/>
  <c r="E38" i="4" s="1"/>
  <c r="L7" i="7" l="1"/>
  <c r="F48" i="4"/>
  <c r="AR6" i="7"/>
  <c r="F36" i="3"/>
  <c r="G28" i="3" s="1"/>
  <c r="F26" i="3"/>
  <c r="G27" i="3" s="1"/>
  <c r="E43" i="4"/>
  <c r="H47" i="4"/>
  <c r="H46" i="4"/>
  <c r="D70" i="4"/>
  <c r="D50" i="4"/>
  <c r="V9" i="7" l="1"/>
  <c r="W7" i="7"/>
  <c r="F78" i="4"/>
  <c r="Y7" i="7"/>
  <c r="G65" i="3"/>
  <c r="G29" i="3"/>
  <c r="G37" i="3" s="1"/>
  <c r="G40" i="3" s="1"/>
  <c r="AK7" i="7"/>
  <c r="H14" i="3"/>
  <c r="D71" i="4"/>
  <c r="D81" i="4" s="1"/>
  <c r="D82" i="4"/>
  <c r="D26" i="4"/>
  <c r="E6" i="7"/>
  <c r="G23" i="3" l="1"/>
  <c r="AM8" i="7"/>
  <c r="AA8" i="7"/>
  <c r="C12" i="5"/>
  <c r="H16" i="3"/>
  <c r="H15" i="3"/>
  <c r="U5" i="7"/>
  <c r="E27" i="4"/>
  <c r="E29" i="4" s="1"/>
  <c r="D84" i="4"/>
  <c r="K6" i="7" l="1"/>
  <c r="E37" i="4"/>
  <c r="D85" i="4"/>
  <c r="D86" i="4"/>
  <c r="I6" i="7"/>
  <c r="E64" i="4"/>
  <c r="E65" i="4"/>
  <c r="F14" i="4"/>
  <c r="AP8" i="7"/>
  <c r="AD7" i="7"/>
  <c r="G24" i="3"/>
  <c r="G30" i="3"/>
  <c r="G31" i="3" s="1"/>
  <c r="G32" i="3" s="1"/>
  <c r="G50" i="3" s="1"/>
  <c r="G51" i="3" s="1"/>
  <c r="G39" i="3"/>
  <c r="B7" i="7" l="1"/>
  <c r="F16" i="4"/>
  <c r="F15" i="4"/>
  <c r="F108" i="2"/>
  <c r="G76" i="4" s="1"/>
  <c r="E68" i="4"/>
  <c r="E40" i="4"/>
  <c r="AR7" i="7"/>
  <c r="G36" i="3"/>
  <c r="H28" i="3" s="1"/>
  <c r="G26" i="3"/>
  <c r="H27" i="3" s="1"/>
  <c r="E69" i="4" l="1"/>
  <c r="E79" i="4" s="1"/>
  <c r="E23" i="4"/>
  <c r="F77" i="4"/>
  <c r="Y8" i="7"/>
  <c r="C18" i="5"/>
  <c r="H65" i="3"/>
  <c r="C23" i="5" s="1"/>
  <c r="H29" i="3"/>
  <c r="H37" i="3" s="1"/>
  <c r="H40" i="3" s="1"/>
  <c r="AK8" i="7"/>
  <c r="I14" i="3"/>
  <c r="AM9" i="7" l="1"/>
  <c r="AA9" i="7"/>
  <c r="I15" i="3"/>
  <c r="I16" i="3"/>
  <c r="T6" i="7"/>
  <c r="E24" i="4"/>
  <c r="E30" i="4"/>
  <c r="E39" i="4"/>
  <c r="H23" i="3"/>
  <c r="C14" i="5" l="1"/>
  <c r="AD8" i="7"/>
  <c r="H24" i="3"/>
  <c r="H39" i="3"/>
  <c r="H30" i="3"/>
  <c r="H31" i="3" s="1"/>
  <c r="H32" i="3" s="1"/>
  <c r="X6" i="7"/>
  <c r="E31" i="4"/>
  <c r="E32" i="4" s="1"/>
  <c r="AP9" i="7"/>
  <c r="S6" i="7"/>
  <c r="Z6" i="7"/>
  <c r="E41" i="4"/>
  <c r="E36" i="4"/>
  <c r="F28" i="4" s="1"/>
  <c r="J6" i="7" l="1"/>
  <c r="E49" i="4"/>
  <c r="AR8" i="7"/>
  <c r="H36" i="3"/>
  <c r="I28" i="3" s="1"/>
  <c r="H26" i="3"/>
  <c r="I27" i="3" s="1"/>
  <c r="E44" i="4"/>
  <c r="H51" i="4"/>
  <c r="H52" i="4"/>
  <c r="C21" i="5"/>
  <c r="H50" i="3"/>
  <c r="G22" i="4"/>
  <c r="F35" i="4"/>
  <c r="F38" i="4" s="1"/>
  <c r="L8" i="7" l="1"/>
  <c r="G48" i="4"/>
  <c r="I47" i="4"/>
  <c r="I46" i="4"/>
  <c r="F43" i="4"/>
  <c r="AH9" i="7"/>
  <c r="H53" i="4"/>
  <c r="H80" i="4" s="1"/>
  <c r="AG9" i="7"/>
  <c r="Y9" i="7"/>
  <c r="I65" i="3"/>
  <c r="I29" i="3"/>
  <c r="I37" i="3" s="1"/>
  <c r="I40" i="3" s="1"/>
  <c r="AK9" i="7"/>
  <c r="J14" i="3"/>
  <c r="E70" i="4"/>
  <c r="E50" i="4"/>
  <c r="E26" i="4" s="1"/>
  <c r="C31" i="5"/>
  <c r="H51" i="3"/>
  <c r="AM10" i="7" l="1"/>
  <c r="AA10" i="7"/>
  <c r="J16" i="3"/>
  <c r="J15" i="3"/>
  <c r="V10" i="7"/>
  <c r="E82" i="4"/>
  <c r="J55" i="4"/>
  <c r="U6" i="7"/>
  <c r="F27" i="4"/>
  <c r="W8" i="7"/>
  <c r="C37" i="5"/>
  <c r="G78" i="4"/>
  <c r="E7" i="7"/>
  <c r="C33" i="5"/>
  <c r="I23" i="3"/>
  <c r="E71" i="4"/>
  <c r="E81" i="4" s="1"/>
  <c r="E84" i="4" l="1"/>
  <c r="AD9" i="7"/>
  <c r="I24" i="3"/>
  <c r="AP10" i="7"/>
  <c r="I7" i="7"/>
  <c r="F64" i="4"/>
  <c r="F65" i="4"/>
  <c r="G14" i="4"/>
  <c r="I30" i="3"/>
  <c r="I31" i="3" s="1"/>
  <c r="I32" i="3" s="1"/>
  <c r="I50" i="3" s="1"/>
  <c r="I51" i="3" s="1"/>
  <c r="I39" i="3"/>
  <c r="F29" i="4"/>
  <c r="K7" i="7" l="1"/>
  <c r="F37" i="4"/>
  <c r="AR9" i="7"/>
  <c r="I36" i="3"/>
  <c r="J28" i="3" s="1"/>
  <c r="I26" i="3"/>
  <c r="J27" i="3" s="1"/>
  <c r="B8" i="7"/>
  <c r="C11" i="5"/>
  <c r="G16" i="4"/>
  <c r="G15" i="4"/>
  <c r="G108" i="2"/>
  <c r="H76" i="4" s="1"/>
  <c r="E85" i="4"/>
  <c r="E86" i="4"/>
  <c r="G77" i="4" l="1"/>
  <c r="F68" i="4"/>
  <c r="F40" i="4"/>
  <c r="Y10" i="7"/>
  <c r="J65" i="3"/>
  <c r="J29" i="3"/>
  <c r="J37" i="3" s="1"/>
  <c r="J40" i="3" s="1"/>
  <c r="AK10" i="7"/>
  <c r="K14" i="3"/>
  <c r="AM11" i="7" l="1"/>
  <c r="AA11" i="7"/>
  <c r="K16" i="3"/>
  <c r="K15" i="3"/>
  <c r="J23" i="3"/>
  <c r="F69" i="4"/>
  <c r="F79" i="4" s="1"/>
  <c r="F23" i="4"/>
  <c r="AD10" i="7" l="1"/>
  <c r="J24" i="3"/>
  <c r="J30" i="3"/>
  <c r="J31" i="3" s="1"/>
  <c r="J32" i="3" s="1"/>
  <c r="J50" i="3" s="1"/>
  <c r="J51" i="3" s="1"/>
  <c r="J39" i="3"/>
  <c r="AP11" i="7"/>
  <c r="T7" i="7"/>
  <c r="F24" i="4"/>
  <c r="F39" i="4"/>
  <c r="F30" i="4"/>
  <c r="X7" i="7" l="1"/>
  <c r="F31" i="4"/>
  <c r="F32" i="4" s="1"/>
  <c r="S7" i="7"/>
  <c r="Z7" i="7"/>
  <c r="F41" i="4"/>
  <c r="F36" i="4"/>
  <c r="G28" i="4" s="1"/>
  <c r="AR10" i="7"/>
  <c r="J36" i="3"/>
  <c r="K28" i="3" s="1"/>
  <c r="J26" i="3"/>
  <c r="K27" i="3" s="1"/>
  <c r="Y11" i="7" l="1"/>
  <c r="K65" i="3"/>
  <c r="K29" i="3"/>
  <c r="K37" i="3" s="1"/>
  <c r="K40" i="3" s="1"/>
  <c r="AK11" i="7"/>
  <c r="L14" i="3"/>
  <c r="I52" i="4"/>
  <c r="F44" i="4"/>
  <c r="I51" i="4"/>
  <c r="J7" i="7"/>
  <c r="F49" i="4"/>
  <c r="H22" i="4"/>
  <c r="G35" i="4"/>
  <c r="G38" i="4" s="1"/>
  <c r="C26" i="5" l="1"/>
  <c r="J46" i="4"/>
  <c r="G43" i="4"/>
  <c r="J47" i="4"/>
  <c r="AH10" i="7"/>
  <c r="K23" i="3"/>
  <c r="F50" i="4"/>
  <c r="F70" i="4"/>
  <c r="AG10" i="7"/>
  <c r="I53" i="4"/>
  <c r="I80" i="4" s="1"/>
  <c r="J57" i="4"/>
  <c r="AI11" i="7" s="1"/>
  <c r="AM12" i="7"/>
  <c r="AA12" i="7"/>
  <c r="L15" i="3"/>
  <c r="L16" i="3"/>
  <c r="L9" i="7"/>
  <c r="H48" i="4"/>
  <c r="AD11" i="7" l="1"/>
  <c r="K24" i="3"/>
  <c r="K30" i="3"/>
  <c r="K31" i="3" s="1"/>
  <c r="K32" i="3" s="1"/>
  <c r="K50" i="3" s="1"/>
  <c r="K51" i="3" s="1"/>
  <c r="K39" i="3"/>
  <c r="W9" i="7"/>
  <c r="H78" i="4"/>
  <c r="F71" i="4"/>
  <c r="F81" i="4"/>
  <c r="AP12" i="7"/>
  <c r="F26" i="4"/>
  <c r="E8" i="7"/>
  <c r="C28" i="5"/>
  <c r="V11" i="7"/>
  <c r="F82" i="4"/>
  <c r="K55" i="4"/>
  <c r="F84" i="4" l="1"/>
  <c r="F85" i="4" s="1"/>
  <c r="AR11" i="7"/>
  <c r="K36" i="3"/>
  <c r="L28" i="3" s="1"/>
  <c r="K26" i="3"/>
  <c r="L27" i="3" s="1"/>
  <c r="U7" i="7"/>
  <c r="G27" i="4"/>
  <c r="F86" i="4" l="1"/>
  <c r="I8" i="7"/>
  <c r="C17" i="5"/>
  <c r="G64" i="4"/>
  <c r="C22" i="5" s="1"/>
  <c r="G65" i="4"/>
  <c r="C43" i="5" s="1"/>
  <c r="H14" i="4"/>
  <c r="G29" i="4"/>
  <c r="Y12" i="7"/>
  <c r="L65" i="3"/>
  <c r="L29" i="3"/>
  <c r="L37" i="3" s="1"/>
  <c r="L40" i="3" s="1"/>
  <c r="AK12" i="7"/>
  <c r="M14" i="3"/>
  <c r="AM13" i="7" l="1"/>
  <c r="AA13" i="7"/>
  <c r="D12" i="5"/>
  <c r="M15" i="3"/>
  <c r="M16" i="3"/>
  <c r="K8" i="7"/>
  <c r="C19" i="5"/>
  <c r="G37" i="4"/>
  <c r="B9" i="7"/>
  <c r="H16" i="4"/>
  <c r="H15" i="4"/>
  <c r="H108" i="2"/>
  <c r="I76" i="4" s="1"/>
  <c r="L23" i="3"/>
  <c r="G68" i="4" l="1"/>
  <c r="G40" i="4"/>
  <c r="H77" i="4"/>
  <c r="AP13" i="7"/>
  <c r="AD12" i="7"/>
  <c r="L24" i="3"/>
  <c r="L39" i="3"/>
  <c r="L30" i="3"/>
  <c r="L31" i="3" s="1"/>
  <c r="L32" i="3" s="1"/>
  <c r="L50" i="3" s="1"/>
  <c r="L51" i="3" s="1"/>
  <c r="G69" i="4" l="1"/>
  <c r="G79" i="4" s="1"/>
  <c r="G23" i="4"/>
  <c r="AR12" i="7"/>
  <c r="L36" i="3"/>
  <c r="M28" i="3" s="1"/>
  <c r="L26" i="3"/>
  <c r="M27" i="3" s="1"/>
  <c r="Y13" i="7" l="1"/>
  <c r="D18" i="5"/>
  <c r="M65" i="3"/>
  <c r="D23" i="5" s="1"/>
  <c r="M29" i="3"/>
  <c r="M37" i="3" s="1"/>
  <c r="M40" i="3" s="1"/>
  <c r="AK13" i="7"/>
  <c r="N14" i="3"/>
  <c r="T8" i="7"/>
  <c r="C13" i="5"/>
  <c r="G24" i="4"/>
  <c r="G39" i="4"/>
  <c r="G30" i="4"/>
  <c r="G36" i="4" l="1"/>
  <c r="H28" i="4" s="1"/>
  <c r="S8" i="7"/>
  <c r="Z8" i="7"/>
  <c r="G41" i="4"/>
  <c r="AM14" i="7"/>
  <c r="AA14" i="7"/>
  <c r="N15" i="3"/>
  <c r="N16" i="3"/>
  <c r="X8" i="7"/>
  <c r="G31" i="4"/>
  <c r="G32" i="4" s="1"/>
  <c r="M23" i="3"/>
  <c r="AP14" i="7" l="1"/>
  <c r="J8" i="7"/>
  <c r="G49" i="4"/>
  <c r="C20" i="5"/>
  <c r="C27" i="5"/>
  <c r="G44" i="4"/>
  <c r="J51" i="4"/>
  <c r="J52" i="4"/>
  <c r="AD13" i="7"/>
  <c r="D14" i="5"/>
  <c r="M24" i="3"/>
  <c r="M39" i="3"/>
  <c r="M30" i="3"/>
  <c r="M31" i="3" s="1"/>
  <c r="M32" i="3" s="1"/>
  <c r="I22" i="4"/>
  <c r="H35" i="4"/>
  <c r="H38" i="4" s="1"/>
  <c r="AH11" i="7" l="1"/>
  <c r="C30" i="5"/>
  <c r="G70" i="4"/>
  <c r="G50" i="4"/>
  <c r="G26" i="4" s="1"/>
  <c r="AG11" i="7"/>
  <c r="J53" i="4"/>
  <c r="J80" i="4" s="1"/>
  <c r="K57" i="4"/>
  <c r="AI12" i="7" s="1"/>
  <c r="C29" i="5"/>
  <c r="L10" i="7"/>
  <c r="I48" i="4"/>
  <c r="D21" i="5"/>
  <c r="M50" i="3"/>
  <c r="AR13" i="7"/>
  <c r="M36" i="3"/>
  <c r="N28" i="3" s="1"/>
  <c r="M26" i="3"/>
  <c r="N27" i="3" s="1"/>
  <c r="K46" i="4"/>
  <c r="H43" i="4"/>
  <c r="K47" i="4"/>
  <c r="U8" i="7" l="1"/>
  <c r="H27" i="4"/>
  <c r="E9" i="7"/>
  <c r="D31" i="5"/>
  <c r="M51" i="3"/>
  <c r="W10" i="7"/>
  <c r="I78" i="4"/>
  <c r="C32" i="5"/>
  <c r="G71" i="4"/>
  <c r="G81" i="4" s="1"/>
  <c r="L55" i="4"/>
  <c r="V12" i="7"/>
  <c r="Y14" i="7"/>
  <c r="N65" i="3"/>
  <c r="N29" i="3"/>
  <c r="N37" i="3" s="1"/>
  <c r="N40" i="3" s="1"/>
  <c r="AK14" i="7"/>
  <c r="O14" i="3"/>
  <c r="G82" i="4"/>
  <c r="D33" i="5" l="1"/>
  <c r="G84" i="4"/>
  <c r="AM15" i="7"/>
  <c r="O15" i="3"/>
  <c r="O16" i="3"/>
  <c r="AA15" i="7"/>
  <c r="I9" i="7"/>
  <c r="H64" i="4"/>
  <c r="H65" i="4"/>
  <c r="I14" i="4"/>
  <c r="N23" i="3"/>
  <c r="H29" i="4"/>
  <c r="AP15" i="7" l="1"/>
  <c r="K9" i="7"/>
  <c r="H37" i="4"/>
  <c r="AD14" i="7"/>
  <c r="N24" i="3"/>
  <c r="B10" i="7"/>
  <c r="I16" i="4"/>
  <c r="I15" i="4"/>
  <c r="I108" i="2"/>
  <c r="J76" i="4" s="1"/>
  <c r="G85" i="4"/>
  <c r="G86" i="4"/>
  <c r="N39" i="3"/>
  <c r="N30" i="3"/>
  <c r="N31" i="3" s="1"/>
  <c r="N32" i="3" s="1"/>
  <c r="N50" i="3" s="1"/>
  <c r="N51" i="3" s="1"/>
  <c r="AR14" i="7" l="1"/>
  <c r="N36" i="3"/>
  <c r="O28" i="3" s="1"/>
  <c r="N26" i="3"/>
  <c r="O27" i="3" s="1"/>
  <c r="H40" i="4"/>
  <c r="H68" i="4"/>
  <c r="I77" i="4"/>
  <c r="H69" i="4" l="1"/>
  <c r="H79" i="4" s="1"/>
  <c r="H23" i="4"/>
  <c r="Y15" i="7"/>
  <c r="O65" i="3"/>
  <c r="O29" i="3"/>
  <c r="O37" i="3" s="1"/>
  <c r="O40" i="3" s="1"/>
  <c r="AK15" i="7"/>
  <c r="P14" i="3"/>
  <c r="O23" i="3" l="1"/>
  <c r="T9" i="7"/>
  <c r="H24" i="4"/>
  <c r="H39" i="4"/>
  <c r="H30" i="4"/>
  <c r="AA16" i="7"/>
  <c r="AM16" i="7"/>
  <c r="P16" i="3"/>
  <c r="P15" i="3"/>
  <c r="S9" i="7" l="1"/>
  <c r="Z9" i="7"/>
  <c r="H41" i="4"/>
  <c r="X9" i="7"/>
  <c r="H31" i="4"/>
  <c r="H32" i="4" s="1"/>
  <c r="H36" i="4"/>
  <c r="I28" i="4" s="1"/>
  <c r="AD15" i="7"/>
  <c r="O24" i="3"/>
  <c r="O30" i="3"/>
  <c r="O31" i="3" s="1"/>
  <c r="O32" i="3" s="1"/>
  <c r="O50" i="3" s="1"/>
  <c r="O51" i="3" s="1"/>
  <c r="O39" i="3"/>
  <c r="AP16" i="7"/>
  <c r="AR15" i="7" l="1"/>
  <c r="O36" i="3"/>
  <c r="P28" i="3" s="1"/>
  <c r="O26" i="3"/>
  <c r="P27" i="3" s="1"/>
  <c r="J9" i="7"/>
  <c r="H49" i="4"/>
  <c r="J22" i="4"/>
  <c r="I35" i="4"/>
  <c r="I38" i="4" s="1"/>
  <c r="K52" i="4"/>
  <c r="H44" i="4"/>
  <c r="K51" i="4"/>
  <c r="L11" i="7" l="1"/>
  <c r="J48" i="4"/>
  <c r="AG12" i="7"/>
  <c r="K53" i="4"/>
  <c r="K80" i="4" s="1"/>
  <c r="L57" i="4"/>
  <c r="AI13" i="7" s="1"/>
  <c r="AH12" i="7"/>
  <c r="H70" i="4"/>
  <c r="H50" i="4"/>
  <c r="H82" i="4" s="1"/>
  <c r="Y16" i="7"/>
  <c r="P65" i="3"/>
  <c r="P29" i="3"/>
  <c r="P37" i="3" s="1"/>
  <c r="P40" i="3" s="1"/>
  <c r="AK16" i="7"/>
  <c r="Q14" i="3"/>
  <c r="L47" i="4"/>
  <c r="I43" i="4"/>
  <c r="L46" i="4"/>
  <c r="W11" i="7" l="1"/>
  <c r="J78" i="4"/>
  <c r="AA17" i="7"/>
  <c r="AM17" i="7"/>
  <c r="Q16" i="3"/>
  <c r="Q15" i="3"/>
  <c r="P23" i="3"/>
  <c r="V13" i="7"/>
  <c r="H26" i="4"/>
  <c r="D36" i="5"/>
  <c r="M55" i="4"/>
  <c r="H71" i="4"/>
  <c r="H81" i="4" s="1"/>
  <c r="H84" i="4" s="1"/>
  <c r="E10" i="7"/>
  <c r="H85" i="4" l="1"/>
  <c r="H86" i="4"/>
  <c r="AP17" i="7"/>
  <c r="U9" i="7"/>
  <c r="I27" i="4"/>
  <c r="AD16" i="7"/>
  <c r="P24" i="3"/>
  <c r="P30" i="3"/>
  <c r="P31" i="3" s="1"/>
  <c r="P32" i="3" s="1"/>
  <c r="P50" i="3" s="1"/>
  <c r="P51" i="3" s="1"/>
  <c r="P39" i="3"/>
  <c r="I10" i="7" l="1"/>
  <c r="I64" i="4"/>
  <c r="I65" i="4"/>
  <c r="J14" i="4"/>
  <c r="I29" i="4"/>
  <c r="AR16" i="7"/>
  <c r="P36" i="3"/>
  <c r="Q28" i="3" s="1"/>
  <c r="P26" i="3"/>
  <c r="Q27" i="3" s="1"/>
  <c r="Y17" i="7" l="1"/>
  <c r="Q65" i="3"/>
  <c r="Q29" i="3"/>
  <c r="Q37" i="3" s="1"/>
  <c r="Q40" i="3" s="1"/>
  <c r="AK17" i="7"/>
  <c r="R14" i="3"/>
  <c r="K10" i="7"/>
  <c r="I37" i="4"/>
  <c r="B11" i="7"/>
  <c r="J16" i="4"/>
  <c r="J108" i="2"/>
  <c r="K76" i="4" s="1"/>
  <c r="J15" i="4"/>
  <c r="I68" i="4" l="1"/>
  <c r="I40" i="4"/>
  <c r="Q23" i="3"/>
  <c r="J77" i="4"/>
  <c r="E12" i="5"/>
  <c r="AM18" i="7"/>
  <c r="AA18" i="7"/>
  <c r="R16" i="3"/>
  <c r="R15" i="3"/>
  <c r="AD17" i="7" l="1"/>
  <c r="Q24" i="3"/>
  <c r="Q30" i="3"/>
  <c r="Q31" i="3" s="1"/>
  <c r="Q32" i="3" s="1"/>
  <c r="Q50" i="3" s="1"/>
  <c r="Q51" i="3" s="1"/>
  <c r="Q39" i="3"/>
  <c r="I69" i="4"/>
  <c r="I79" i="4" s="1"/>
  <c r="I23" i="4"/>
  <c r="AP18" i="7"/>
  <c r="T10" i="7" l="1"/>
  <c r="I24" i="4"/>
  <c r="I30" i="4"/>
  <c r="I39" i="4"/>
  <c r="AR17" i="7"/>
  <c r="Q36" i="3"/>
  <c r="R28" i="3" s="1"/>
  <c r="Q26" i="3"/>
  <c r="R27" i="3" s="1"/>
  <c r="Y18" i="7" l="1"/>
  <c r="E18" i="5"/>
  <c r="R65" i="3"/>
  <c r="E23" i="5" s="1"/>
  <c r="R29" i="3"/>
  <c r="R37" i="3" s="1"/>
  <c r="R40" i="3" s="1"/>
  <c r="AK18" i="7"/>
  <c r="S14" i="3"/>
  <c r="S10" i="7"/>
  <c r="Z10" i="7"/>
  <c r="I41" i="4"/>
  <c r="I36" i="4"/>
  <c r="J28" i="4" s="1"/>
  <c r="X10" i="7"/>
  <c r="I31" i="4"/>
  <c r="I32" i="4" s="1"/>
  <c r="K22" i="4" l="1"/>
  <c r="K48" i="4" s="1"/>
  <c r="J35" i="4"/>
  <c r="J38" i="4" s="1"/>
  <c r="AA19" i="7"/>
  <c r="AM19" i="7"/>
  <c r="S16" i="3"/>
  <c r="S15" i="3"/>
  <c r="I44" i="4"/>
  <c r="L51" i="4"/>
  <c r="L52" i="4"/>
  <c r="R23" i="3"/>
  <c r="J10" i="7"/>
  <c r="I49" i="4"/>
  <c r="W12" i="7" l="1"/>
  <c r="K78" i="4"/>
  <c r="AD18" i="7"/>
  <c r="E14" i="5"/>
  <c r="R24" i="3"/>
  <c r="R39" i="3"/>
  <c r="R30" i="3"/>
  <c r="R31" i="3" s="1"/>
  <c r="R32" i="3" s="1"/>
  <c r="AG13" i="7"/>
  <c r="L53" i="4"/>
  <c r="L80" i="4" s="1"/>
  <c r="M57" i="4"/>
  <c r="AI14" i="7" s="1"/>
  <c r="AP19" i="7"/>
  <c r="AH13" i="7"/>
  <c r="D38" i="5"/>
  <c r="I70" i="4"/>
  <c r="I50" i="4"/>
  <c r="I82" i="4" s="1"/>
  <c r="M46" i="4"/>
  <c r="J43" i="4"/>
  <c r="M47" i="4"/>
  <c r="L12" i="7"/>
  <c r="V14" i="7" l="1"/>
  <c r="AR18" i="7"/>
  <c r="R36" i="3"/>
  <c r="S28" i="3" s="1"/>
  <c r="R26" i="3"/>
  <c r="S27" i="3" s="1"/>
  <c r="I71" i="4"/>
  <c r="I81" i="4" s="1"/>
  <c r="I84" i="4" s="1"/>
  <c r="I26" i="4"/>
  <c r="E21" i="5"/>
  <c r="R50" i="3"/>
  <c r="E11" i="7"/>
  <c r="N55" i="4"/>
  <c r="I85" i="4" l="1"/>
  <c r="I86" i="4"/>
  <c r="Y19" i="7"/>
  <c r="S65" i="3"/>
  <c r="S29" i="3"/>
  <c r="S37" i="3" s="1"/>
  <c r="S40" i="3" s="1"/>
  <c r="AK19" i="7"/>
  <c r="T14" i="3"/>
  <c r="E31" i="5"/>
  <c r="R51" i="3"/>
  <c r="U10" i="7"/>
  <c r="J27" i="4"/>
  <c r="J29" i="4" s="1"/>
  <c r="K11" i="7" l="1"/>
  <c r="J37" i="4"/>
  <c r="J58" i="4"/>
  <c r="O11" i="7" s="1"/>
  <c r="J56" i="4"/>
  <c r="S23" i="3"/>
  <c r="AA20" i="7"/>
  <c r="AM20" i="7"/>
  <c r="T16" i="3"/>
  <c r="T15" i="3"/>
  <c r="E33" i="5"/>
  <c r="I11" i="7"/>
  <c r="J65" i="4"/>
  <c r="K14" i="4"/>
  <c r="J60" i="4" l="1"/>
  <c r="B12" i="7"/>
  <c r="K16" i="4"/>
  <c r="K108" i="2"/>
  <c r="L76" i="4" s="1"/>
  <c r="K15" i="4"/>
  <c r="N11" i="7"/>
  <c r="J62" i="4"/>
  <c r="J64" i="4" s="1"/>
  <c r="J61" i="4"/>
  <c r="AP20" i="7"/>
  <c r="AD19" i="7"/>
  <c r="S24" i="3"/>
  <c r="S39" i="3"/>
  <c r="S30" i="3"/>
  <c r="S31" i="3" s="1"/>
  <c r="S32" i="3" s="1"/>
  <c r="S50" i="3" s="1"/>
  <c r="S51" i="3" s="1"/>
  <c r="J40" i="4"/>
  <c r="J68" i="4"/>
  <c r="M11" i="7" l="1"/>
  <c r="K77" i="4"/>
  <c r="J69" i="4"/>
  <c r="J79" i="4" s="1"/>
  <c r="J23" i="4"/>
  <c r="AR19" i="7"/>
  <c r="S36" i="3"/>
  <c r="T28" i="3" s="1"/>
  <c r="S26" i="3"/>
  <c r="T27" i="3" s="1"/>
  <c r="Y20" i="7" l="1"/>
  <c r="T65" i="3"/>
  <c r="T29" i="3"/>
  <c r="T37" i="3" s="1"/>
  <c r="T40" i="3" s="1"/>
  <c r="AK20" i="7"/>
  <c r="U14" i="3"/>
  <c r="T11" i="7"/>
  <c r="J24" i="4"/>
  <c r="J39" i="4"/>
  <c r="J30" i="4"/>
  <c r="X11" i="7" l="1"/>
  <c r="J31" i="4"/>
  <c r="J32" i="4" s="1"/>
  <c r="J36" i="4"/>
  <c r="K28" i="4" s="1"/>
  <c r="AM21" i="7"/>
  <c r="AA21" i="7"/>
  <c r="U15" i="3"/>
  <c r="U16" i="3"/>
  <c r="S11" i="7"/>
  <c r="Z11" i="7"/>
  <c r="J41" i="4"/>
  <c r="T23" i="3"/>
  <c r="AP21" i="7" l="1"/>
  <c r="L22" i="4"/>
  <c r="L48" i="4" s="1"/>
  <c r="K35" i="4"/>
  <c r="K38" i="4" s="1"/>
  <c r="AD20" i="7"/>
  <c r="T24" i="3"/>
  <c r="T39" i="3"/>
  <c r="T30" i="3"/>
  <c r="T31" i="3" s="1"/>
  <c r="T32" i="3" s="1"/>
  <c r="T50" i="3" s="1"/>
  <c r="T51" i="3" s="1"/>
  <c r="J11" i="7"/>
  <c r="J49" i="4"/>
  <c r="M52" i="4"/>
  <c r="J44" i="4"/>
  <c r="M51" i="4"/>
  <c r="W13" i="7" l="1"/>
  <c r="D37" i="5"/>
  <c r="L78" i="4"/>
  <c r="AH14" i="7"/>
  <c r="J70" i="4"/>
  <c r="J50" i="4"/>
  <c r="J82" i="4" s="1"/>
  <c r="AR20" i="7"/>
  <c r="T36" i="3"/>
  <c r="U28" i="3" s="1"/>
  <c r="T26" i="3"/>
  <c r="U27" i="3" s="1"/>
  <c r="L13" i="7"/>
  <c r="K43" i="4"/>
  <c r="N46" i="4"/>
  <c r="N47" i="4"/>
  <c r="AG14" i="7"/>
  <c r="M53" i="4"/>
  <c r="M80" i="4" s="1"/>
  <c r="N57" i="4"/>
  <c r="AI15" i="7" s="1"/>
  <c r="O55" i="4" l="1"/>
  <c r="E12" i="7"/>
  <c r="J71" i="4"/>
  <c r="J81" i="4" s="1"/>
  <c r="J84" i="4" s="1"/>
  <c r="V15" i="7"/>
  <c r="J26" i="4"/>
  <c r="Y21" i="7"/>
  <c r="U65" i="3"/>
  <c r="U29" i="3"/>
  <c r="U37" i="3" s="1"/>
  <c r="U40" i="3" s="1"/>
  <c r="AK21" i="7"/>
  <c r="V14" i="3"/>
  <c r="J85" i="4" l="1"/>
  <c r="J86" i="4"/>
  <c r="U11" i="7"/>
  <c r="K27" i="4"/>
  <c r="AA22" i="7"/>
  <c r="AM22" i="7"/>
  <c r="V15" i="3"/>
  <c r="V16" i="3"/>
  <c r="U23" i="3"/>
  <c r="AP22" i="7" l="1"/>
  <c r="I12" i="7"/>
  <c r="K65" i="4"/>
  <c r="L14" i="4"/>
  <c r="K29" i="4"/>
  <c r="AD21" i="7"/>
  <c r="U24" i="3"/>
  <c r="U30" i="3"/>
  <c r="U31" i="3" s="1"/>
  <c r="U32" i="3" s="1"/>
  <c r="U50" i="3" s="1"/>
  <c r="U51" i="3" s="1"/>
  <c r="U39" i="3"/>
  <c r="B13" i="7" l="1"/>
  <c r="D11" i="5"/>
  <c r="L15" i="4"/>
  <c r="L16" i="4"/>
  <c r="L108" i="2"/>
  <c r="M76" i="4" s="1"/>
  <c r="AR21" i="7"/>
  <c r="U36" i="3"/>
  <c r="V28" i="3" s="1"/>
  <c r="U26" i="3"/>
  <c r="V27" i="3" s="1"/>
  <c r="K12" i="7"/>
  <c r="K37" i="4"/>
  <c r="K58" i="4"/>
  <c r="O12" i="7" s="1"/>
  <c r="K56" i="4"/>
  <c r="K40" i="4" l="1"/>
  <c r="K68" i="4"/>
  <c r="Y22" i="7"/>
  <c r="V65" i="3"/>
  <c r="V29" i="3"/>
  <c r="V37" i="3" s="1"/>
  <c r="V40" i="3" s="1"/>
  <c r="AK22" i="7"/>
  <c r="W14" i="3"/>
  <c r="L77" i="4"/>
  <c r="K60" i="4"/>
  <c r="V23" i="3" l="1"/>
  <c r="AA23" i="7"/>
  <c r="AM23" i="7"/>
  <c r="F12" i="5"/>
  <c r="W15" i="3"/>
  <c r="W16" i="3"/>
  <c r="N12" i="7"/>
  <c r="K62" i="4"/>
  <c r="K64" i="4" s="1"/>
  <c r="K61" i="4"/>
  <c r="K69" i="4"/>
  <c r="K79" i="4"/>
  <c r="K23" i="4"/>
  <c r="AP23" i="7" l="1"/>
  <c r="T12" i="7"/>
  <c r="K24" i="4"/>
  <c r="K30" i="4"/>
  <c r="K39" i="4"/>
  <c r="AD22" i="7"/>
  <c r="V24" i="3"/>
  <c r="V39" i="3"/>
  <c r="V30" i="3"/>
  <c r="V31" i="3" s="1"/>
  <c r="V32" i="3" s="1"/>
  <c r="V50" i="3" s="1"/>
  <c r="V51" i="3" s="1"/>
  <c r="M12" i="7"/>
  <c r="X12" i="7" l="1"/>
  <c r="K31" i="4"/>
  <c r="K32" i="4" s="1"/>
  <c r="AR22" i="7"/>
  <c r="V36" i="3"/>
  <c r="W28" i="3" s="1"/>
  <c r="V26" i="3"/>
  <c r="W27" i="3" s="1"/>
  <c r="S12" i="7"/>
  <c r="Z12" i="7"/>
  <c r="K41" i="4"/>
  <c r="K36" i="4"/>
  <c r="L28" i="4" s="1"/>
  <c r="N52" i="4" l="1"/>
  <c r="N51" i="4"/>
  <c r="K44" i="4"/>
  <c r="M22" i="4"/>
  <c r="M48" i="4" s="1"/>
  <c r="L35" i="4"/>
  <c r="L38" i="4" s="1"/>
  <c r="J12" i="7"/>
  <c r="K49" i="4"/>
  <c r="Y23" i="7"/>
  <c r="F18" i="5"/>
  <c r="W65" i="3"/>
  <c r="F23" i="5" s="1"/>
  <c r="W29" i="3"/>
  <c r="W37" i="3" s="1"/>
  <c r="W40" i="3" s="1"/>
  <c r="AK23" i="7"/>
  <c r="X14" i="3"/>
  <c r="W14" i="7" l="1"/>
  <c r="M78" i="4"/>
  <c r="D26" i="5"/>
  <c r="O46" i="4"/>
  <c r="O47" i="4"/>
  <c r="L43" i="4"/>
  <c r="W23" i="3"/>
  <c r="K50" i="4"/>
  <c r="K82" i="4" s="1"/>
  <c r="K70" i="4"/>
  <c r="L14" i="7"/>
  <c r="AG15" i="7"/>
  <c r="N53" i="4"/>
  <c r="N80" i="4" s="1"/>
  <c r="O57" i="4"/>
  <c r="AI16" i="7" s="1"/>
  <c r="AA24" i="7"/>
  <c r="AM24" i="7"/>
  <c r="X15" i="3"/>
  <c r="X16" i="3"/>
  <c r="AH15" i="7"/>
  <c r="V16" i="7" l="1"/>
  <c r="K71" i="4"/>
  <c r="K81" i="4"/>
  <c r="K84" i="4" s="1"/>
  <c r="K26" i="4"/>
  <c r="E13" i="7"/>
  <c r="D28" i="5"/>
  <c r="P55" i="4"/>
  <c r="AD23" i="7"/>
  <c r="F14" i="5"/>
  <c r="W24" i="3"/>
  <c r="W30" i="3"/>
  <c r="W31" i="3" s="1"/>
  <c r="W32" i="3" s="1"/>
  <c r="W39" i="3"/>
  <c r="AP24" i="7"/>
  <c r="K85" i="4" l="1"/>
  <c r="K86" i="4"/>
  <c r="F21" i="5"/>
  <c r="W50" i="3"/>
  <c r="U12" i="7"/>
  <c r="L27" i="4"/>
  <c r="AR23" i="7"/>
  <c r="W36" i="3"/>
  <c r="X28" i="3" s="1"/>
  <c r="W26" i="3"/>
  <c r="X27" i="3" s="1"/>
  <c r="I13" i="7" l="1"/>
  <c r="D17" i="5"/>
  <c r="L65" i="4"/>
  <c r="D43" i="5" s="1"/>
  <c r="M14" i="4"/>
  <c r="F31" i="5"/>
  <c r="W51" i="3"/>
  <c r="Y24" i="7"/>
  <c r="X65" i="3"/>
  <c r="X29" i="3"/>
  <c r="X37" i="3" s="1"/>
  <c r="X40" i="3" s="1"/>
  <c r="AK24" i="7"/>
  <c r="Y14" i="3"/>
  <c r="L29" i="4"/>
  <c r="B14" i="7" l="1"/>
  <c r="M16" i="4"/>
  <c r="M15" i="4"/>
  <c r="M108" i="2"/>
  <c r="N76" i="4" s="1"/>
  <c r="F33" i="5"/>
  <c r="X30" i="3"/>
  <c r="X31" i="3" s="1"/>
  <c r="X32" i="3" s="1"/>
  <c r="X50" i="3" s="1"/>
  <c r="X51" i="3" s="1"/>
  <c r="X39" i="3"/>
  <c r="AA25" i="7"/>
  <c r="AM25" i="7"/>
  <c r="Y16" i="3"/>
  <c r="Y15" i="3"/>
  <c r="X23" i="3"/>
  <c r="D19" i="5"/>
  <c r="K13" i="7"/>
  <c r="L37" i="4"/>
  <c r="L56" i="4"/>
  <c r="L58" i="4"/>
  <c r="O13" i="7" s="1"/>
  <c r="L60" i="4" l="1"/>
  <c r="L40" i="4"/>
  <c r="L68" i="4"/>
  <c r="AD24" i="7"/>
  <c r="X24" i="3"/>
  <c r="N13" i="7"/>
  <c r="D40" i="5"/>
  <c r="L62" i="4"/>
  <c r="L61" i="4"/>
  <c r="M77" i="4"/>
  <c r="AP25" i="7"/>
  <c r="D42" i="5" l="1"/>
  <c r="L64" i="4"/>
  <c r="D22" i="5" s="1"/>
  <c r="M13" i="7"/>
  <c r="D41" i="5"/>
  <c r="AR24" i="7"/>
  <c r="X36" i="3"/>
  <c r="Y28" i="3" s="1"/>
  <c r="X26" i="3"/>
  <c r="Y27" i="3" s="1"/>
  <c r="L69" i="4"/>
  <c r="L79" i="4" s="1"/>
  <c r="L23" i="4"/>
  <c r="Y25" i="7" l="1"/>
  <c r="Y65" i="3"/>
  <c r="Y29" i="3"/>
  <c r="Y37" i="3" s="1"/>
  <c r="Y40" i="3" s="1"/>
  <c r="AK25" i="7"/>
  <c r="Z14" i="3"/>
  <c r="T13" i="7"/>
  <c r="D13" i="5"/>
  <c r="L24" i="4"/>
  <c r="L39" i="4"/>
  <c r="L30" i="4"/>
  <c r="L36" i="4" l="1"/>
  <c r="M28" i="4" s="1"/>
  <c r="X13" i="7"/>
  <c r="L31" i="4"/>
  <c r="L32" i="4" s="1"/>
  <c r="Y23" i="3"/>
  <c r="S13" i="7"/>
  <c r="Z13" i="7"/>
  <c r="L41" i="4"/>
  <c r="AA26" i="7"/>
  <c r="AM26" i="7"/>
  <c r="Z16" i="3"/>
  <c r="Z15" i="3"/>
  <c r="D27" i="5" l="1"/>
  <c r="O52" i="4"/>
  <c r="O51" i="4"/>
  <c r="L44" i="4"/>
  <c r="AD25" i="7"/>
  <c r="Y24" i="3"/>
  <c r="Y30" i="3"/>
  <c r="Y31" i="3" s="1"/>
  <c r="Y32" i="3" s="1"/>
  <c r="Y50" i="3" s="1"/>
  <c r="Y51" i="3" s="1"/>
  <c r="Y39" i="3"/>
  <c r="AP26" i="7"/>
  <c r="J13" i="7"/>
  <c r="L49" i="4"/>
  <c r="D20" i="5"/>
  <c r="N22" i="4"/>
  <c r="N48" i="4" s="1"/>
  <c r="M35" i="4"/>
  <c r="M38" i="4" s="1"/>
  <c r="W15" i="7" l="1"/>
  <c r="N78" i="4"/>
  <c r="AR25" i="7"/>
  <c r="Y36" i="3"/>
  <c r="Z28" i="3" s="1"/>
  <c r="Y26" i="3"/>
  <c r="Z27" i="3" s="1"/>
  <c r="D29" i="5"/>
  <c r="AH16" i="7"/>
  <c r="P46" i="4"/>
  <c r="M43" i="4"/>
  <c r="P47" i="4"/>
  <c r="L15" i="7"/>
  <c r="AG16" i="7"/>
  <c r="O53" i="4"/>
  <c r="O80" i="4"/>
  <c r="P57" i="4"/>
  <c r="AI17" i="7" s="1"/>
  <c r="D30" i="5"/>
  <c r="L50" i="4"/>
  <c r="L70" i="4"/>
  <c r="L26" i="4" l="1"/>
  <c r="L82" i="4"/>
  <c r="Y26" i="7"/>
  <c r="Z65" i="3"/>
  <c r="Z29" i="3"/>
  <c r="Z37" i="3" s="1"/>
  <c r="Z40" i="3" s="1"/>
  <c r="AK26" i="7"/>
  <c r="AA14" i="3"/>
  <c r="V17" i="7"/>
  <c r="E14" i="7"/>
  <c r="D32" i="5"/>
  <c r="L71" i="4"/>
  <c r="L81" i="4" s="1"/>
  <c r="Q55" i="4"/>
  <c r="AM27" i="7" l="1"/>
  <c r="AA27" i="7"/>
  <c r="AA15" i="3"/>
  <c r="AA16" i="3"/>
  <c r="L84" i="4"/>
  <c r="U13" i="7"/>
  <c r="M27" i="4"/>
  <c r="M29" i="4" s="1"/>
  <c r="Z23" i="3"/>
  <c r="K14" i="7" l="1"/>
  <c r="M37" i="4"/>
  <c r="M58" i="4"/>
  <c r="O14" i="7" s="1"/>
  <c r="M56" i="4"/>
  <c r="M60" i="4" s="1"/>
  <c r="AP27" i="7"/>
  <c r="I14" i="7"/>
  <c r="M65" i="4"/>
  <c r="N14" i="4"/>
  <c r="AD26" i="7"/>
  <c r="Z24" i="3"/>
  <c r="Z39" i="3"/>
  <c r="Z30" i="3"/>
  <c r="Z31" i="3" s="1"/>
  <c r="Z32" i="3" s="1"/>
  <c r="Z50" i="3" s="1"/>
  <c r="Z51" i="3" s="1"/>
  <c r="L85" i="4"/>
  <c r="L86" i="4"/>
  <c r="B15" i="7" l="1"/>
  <c r="N15" i="4"/>
  <c r="N16" i="4"/>
  <c r="N108" i="2"/>
  <c r="O76" i="4" s="1"/>
  <c r="N14" i="7"/>
  <c r="M62" i="4"/>
  <c r="M64" i="4" s="1"/>
  <c r="M61" i="4"/>
  <c r="M68" i="4"/>
  <c r="M40" i="4"/>
  <c r="AR26" i="7"/>
  <c r="Z36" i="3"/>
  <c r="AA28" i="3" s="1"/>
  <c r="Z26" i="3"/>
  <c r="AA27" i="3" s="1"/>
  <c r="M14" i="7" l="1"/>
  <c r="Y27" i="7"/>
  <c r="AA65" i="3"/>
  <c r="AA29" i="3"/>
  <c r="AA37" i="3" s="1"/>
  <c r="AA40" i="3" s="1"/>
  <c r="AK27" i="7"/>
  <c r="AB14" i="3"/>
  <c r="N77" i="4"/>
  <c r="M69" i="4"/>
  <c r="M79" i="4" s="1"/>
  <c r="M23" i="4"/>
  <c r="T14" i="7" l="1"/>
  <c r="M24" i="4"/>
  <c r="M30" i="4"/>
  <c r="M39" i="4"/>
  <c r="AM28" i="7"/>
  <c r="AA28" i="7"/>
  <c r="AB15" i="3"/>
  <c r="AB16" i="3"/>
  <c r="AA23" i="3"/>
  <c r="AD27" i="7" l="1"/>
  <c r="AA24" i="3"/>
  <c r="AA30" i="3"/>
  <c r="AA31" i="3" s="1"/>
  <c r="AA32" i="3" s="1"/>
  <c r="AA50" i="3" s="1"/>
  <c r="AA51" i="3" s="1"/>
  <c r="AA39" i="3"/>
  <c r="AP28" i="7"/>
  <c r="X14" i="7"/>
  <c r="M31" i="4"/>
  <c r="M32" i="4" s="1"/>
  <c r="S14" i="7"/>
  <c r="Z14" i="7"/>
  <c r="M41" i="4"/>
  <c r="M36" i="4"/>
  <c r="N28" i="4" s="1"/>
  <c r="AR27" i="7" l="1"/>
  <c r="AA36" i="3"/>
  <c r="AB28" i="3" s="1"/>
  <c r="AA26" i="3"/>
  <c r="AB27" i="3" s="1"/>
  <c r="J14" i="7"/>
  <c r="M49" i="4"/>
  <c r="O22" i="4"/>
  <c r="O48" i="4" s="1"/>
  <c r="N35" i="4"/>
  <c r="N38" i="4" s="1"/>
  <c r="M44" i="4"/>
  <c r="P51" i="4"/>
  <c r="P52" i="4"/>
  <c r="W16" i="7" l="1"/>
  <c r="O78" i="4"/>
  <c r="AG17" i="7"/>
  <c r="P53" i="4"/>
  <c r="P80" i="4" s="1"/>
  <c r="Q57" i="4"/>
  <c r="AI18" i="7" s="1"/>
  <c r="AH17" i="7"/>
  <c r="N43" i="4"/>
  <c r="Q46" i="4"/>
  <c r="Q47" i="4"/>
  <c r="M70" i="4"/>
  <c r="M50" i="4"/>
  <c r="Y28" i="7"/>
  <c r="AB65" i="3"/>
  <c r="AB29" i="3"/>
  <c r="AB37" i="3" s="1"/>
  <c r="AB40" i="3" s="1"/>
  <c r="AK28" i="7"/>
  <c r="AC14" i="3"/>
  <c r="L16" i="7"/>
  <c r="M71" i="4" l="1"/>
  <c r="M81" i="4" s="1"/>
  <c r="M26" i="4"/>
  <c r="E36" i="5"/>
  <c r="R55" i="4"/>
  <c r="AM29" i="7"/>
  <c r="AA29" i="7"/>
  <c r="AC15" i="3"/>
  <c r="AC16" i="3"/>
  <c r="V18" i="7"/>
  <c r="M82" i="4"/>
  <c r="E15" i="7"/>
  <c r="AB23" i="3"/>
  <c r="AD28" i="7" l="1"/>
  <c r="AB24" i="3"/>
  <c r="AB39" i="3"/>
  <c r="AB30" i="3"/>
  <c r="AB31" i="3" s="1"/>
  <c r="AB32" i="3" s="1"/>
  <c r="AB50" i="3" s="1"/>
  <c r="AB51" i="3" s="1"/>
  <c r="AP29" i="7"/>
  <c r="U14" i="7"/>
  <c r="N27" i="4"/>
  <c r="M84" i="4"/>
  <c r="I15" i="7" l="1"/>
  <c r="N65" i="4"/>
  <c r="O14" i="4"/>
  <c r="N29" i="4"/>
  <c r="AR28" i="7"/>
  <c r="AB36" i="3"/>
  <c r="AC28" i="3" s="1"/>
  <c r="AB26" i="3"/>
  <c r="AC27" i="3" s="1"/>
  <c r="M85" i="4"/>
  <c r="M86" i="4"/>
  <c r="Y29" i="7" l="1"/>
  <c r="AC65" i="3"/>
  <c r="AC29" i="3"/>
  <c r="AC37" i="3" s="1"/>
  <c r="AC40" i="3" s="1"/>
  <c r="AC23" i="3" s="1"/>
  <c r="AK29" i="7"/>
  <c r="K15" i="7"/>
  <c r="N37" i="4"/>
  <c r="N56" i="4"/>
  <c r="N58" i="4"/>
  <c r="O15" i="7" s="1"/>
  <c r="B16" i="7"/>
  <c r="O15" i="4"/>
  <c r="O16" i="4"/>
  <c r="O108" i="2"/>
  <c r="P76" i="4" s="1"/>
  <c r="N60" i="4" l="1"/>
  <c r="N62" i="4" s="1"/>
  <c r="N64" i="4" s="1"/>
  <c r="N40" i="4"/>
  <c r="N68" i="4"/>
  <c r="O77" i="4"/>
  <c r="AD29" i="7"/>
  <c r="AC24" i="3"/>
  <c r="AC30" i="3"/>
  <c r="AC31" i="3" s="1"/>
  <c r="AC32" i="3" s="1"/>
  <c r="AC50" i="3" s="1"/>
  <c r="AC51" i="3" s="1"/>
  <c r="AC39" i="3"/>
  <c r="N15" i="7" l="1"/>
  <c r="N61" i="4"/>
  <c r="M15" i="7" s="1"/>
  <c r="AR29" i="7"/>
  <c r="AC36" i="3"/>
  <c r="AC26" i="3"/>
  <c r="N69" i="4"/>
  <c r="N79" i="4" s="1"/>
  <c r="N23" i="4"/>
  <c r="T15" i="7" l="1"/>
  <c r="N24" i="4"/>
  <c r="N30" i="4"/>
  <c r="N39" i="4"/>
  <c r="S15" i="7" l="1"/>
  <c r="Z15" i="7"/>
  <c r="N41" i="4"/>
  <c r="X15" i="7"/>
  <c r="N31" i="4"/>
  <c r="N32" i="4" s="1"/>
  <c r="N36" i="4"/>
  <c r="O28" i="4" s="1"/>
  <c r="J15" i="7" l="1"/>
  <c r="N49" i="4"/>
  <c r="O35" i="4"/>
  <c r="O38" i="4" s="1"/>
  <c r="P22" i="4"/>
  <c r="P48" i="4" s="1"/>
  <c r="Q51" i="4"/>
  <c r="N44" i="4"/>
  <c r="Q52" i="4"/>
  <c r="W17" i="7" l="1"/>
  <c r="P78" i="4"/>
  <c r="AH18" i="7"/>
  <c r="E38" i="5"/>
  <c r="AG18" i="7"/>
  <c r="Q53" i="4"/>
  <c r="Q80" i="4" s="1"/>
  <c r="R57" i="4"/>
  <c r="AI19" i="7" s="1"/>
  <c r="R47" i="4"/>
  <c r="R46" i="4"/>
  <c r="O43" i="4"/>
  <c r="L17" i="7"/>
  <c r="N50" i="4"/>
  <c r="N82" i="4" s="1"/>
  <c r="N70" i="4"/>
  <c r="N71" i="4" l="1"/>
  <c r="N81" i="4" s="1"/>
  <c r="N84" i="4" s="1"/>
  <c r="N26" i="4"/>
  <c r="E16" i="7"/>
  <c r="S55" i="4"/>
  <c r="V19" i="7"/>
  <c r="N85" i="4" l="1"/>
  <c r="N86" i="4"/>
  <c r="U15" i="7"/>
  <c r="O27" i="4"/>
  <c r="I16" i="7" l="1"/>
  <c r="O65" i="4"/>
  <c r="P14" i="4"/>
  <c r="O29" i="4"/>
  <c r="B17" i="7" l="1"/>
  <c r="P16" i="4"/>
  <c r="P15" i="4"/>
  <c r="P108" i="2"/>
  <c r="Q76" i="4" s="1"/>
  <c r="K16" i="7"/>
  <c r="O37" i="4"/>
  <c r="O56" i="4"/>
  <c r="O58" i="4"/>
  <c r="O16" i="7" s="1"/>
  <c r="O60" i="4" l="1"/>
  <c r="O40" i="4"/>
  <c r="O68" i="4"/>
  <c r="P77" i="4"/>
  <c r="N16" i="7" l="1"/>
  <c r="O62" i="4"/>
  <c r="O64" i="4" s="1"/>
  <c r="O61" i="4"/>
  <c r="O69" i="4"/>
  <c r="O79" i="4" s="1"/>
  <c r="O23" i="4"/>
  <c r="T16" i="7" l="1"/>
  <c r="O24" i="4"/>
  <c r="O30" i="4"/>
  <c r="O39" i="4"/>
  <c r="M16" i="7"/>
  <c r="S16" i="7" l="1"/>
  <c r="Z16" i="7"/>
  <c r="O41" i="4"/>
  <c r="O36" i="4"/>
  <c r="P28" i="4" s="1"/>
  <c r="X16" i="7"/>
  <c r="O31" i="4"/>
  <c r="O32" i="4" s="1"/>
  <c r="J16" i="7" l="1"/>
  <c r="O49" i="4"/>
  <c r="R52" i="4"/>
  <c r="O44" i="4"/>
  <c r="R51" i="4"/>
  <c r="P35" i="4"/>
  <c r="P38" i="4" s="1"/>
  <c r="Q22" i="4"/>
  <c r="Q48" i="4" s="1"/>
  <c r="Q78" i="4" l="1"/>
  <c r="W18" i="7"/>
  <c r="E37" i="5"/>
  <c r="L18" i="7"/>
  <c r="AG19" i="7"/>
  <c r="R53" i="4"/>
  <c r="R80" i="4" s="1"/>
  <c r="S57" i="4"/>
  <c r="AI20" i="7" s="1"/>
  <c r="AH19" i="7"/>
  <c r="S46" i="4"/>
  <c r="S47" i="4"/>
  <c r="P43" i="4"/>
  <c r="O70" i="4"/>
  <c r="O50" i="4"/>
  <c r="O82" i="4" s="1"/>
  <c r="V20" i="7" l="1"/>
  <c r="O71" i="4"/>
  <c r="O81" i="4"/>
  <c r="O84" i="4" s="1"/>
  <c r="E17" i="7"/>
  <c r="T55" i="4"/>
  <c r="O26" i="4"/>
  <c r="U16" i="7" l="1"/>
  <c r="P27" i="4"/>
  <c r="O85" i="4"/>
  <c r="O86" i="4"/>
  <c r="I17" i="7" l="1"/>
  <c r="P65" i="4"/>
  <c r="Q14" i="4"/>
  <c r="P29" i="4"/>
  <c r="B18" i="7" l="1"/>
  <c r="E11" i="5"/>
  <c r="Q16" i="4"/>
  <c r="Q15" i="4"/>
  <c r="Q108" i="2"/>
  <c r="R76" i="4" s="1"/>
  <c r="K17" i="7"/>
  <c r="P37" i="4"/>
  <c r="P56" i="4"/>
  <c r="P58" i="4"/>
  <c r="O17" i="7" s="1"/>
  <c r="P60" i="4" l="1"/>
  <c r="P62" i="4" s="1"/>
  <c r="P64" i="4" s="1"/>
  <c r="P68" i="4"/>
  <c r="P40" i="4"/>
  <c r="Q77" i="4"/>
  <c r="N17" i="7"/>
  <c r="P61" i="4" l="1"/>
  <c r="P69" i="4"/>
  <c r="P79" i="4" s="1"/>
  <c r="P23" i="4"/>
  <c r="M17" i="7"/>
  <c r="T17" i="7" l="1"/>
  <c r="P24" i="4"/>
  <c r="P30" i="4"/>
  <c r="P39" i="4"/>
  <c r="S17" i="7" l="1"/>
  <c r="Z17" i="7"/>
  <c r="P41" i="4"/>
  <c r="P36" i="4"/>
  <c r="Q28" i="4" s="1"/>
  <c r="X17" i="7"/>
  <c r="P31" i="4"/>
  <c r="P32" i="4" s="1"/>
  <c r="J17" i="7" l="1"/>
  <c r="P49" i="4"/>
  <c r="R22" i="4"/>
  <c r="R48" i="4" s="1"/>
  <c r="Q35" i="4"/>
  <c r="Q38" i="4" s="1"/>
  <c r="P44" i="4"/>
  <c r="S52" i="4"/>
  <c r="S51" i="4"/>
  <c r="W19" i="7" l="1"/>
  <c r="R78" i="4"/>
  <c r="AH20" i="7"/>
  <c r="E26" i="5"/>
  <c r="T46" i="4"/>
  <c r="T47" i="4"/>
  <c r="Q43" i="4"/>
  <c r="P70" i="4"/>
  <c r="P50" i="4"/>
  <c r="P82" i="4" s="1"/>
  <c r="AG20" i="7"/>
  <c r="S53" i="4"/>
  <c r="S80" i="4" s="1"/>
  <c r="T57" i="4"/>
  <c r="AI21" i="7" s="1"/>
  <c r="L19" i="7"/>
  <c r="U55" i="4" l="1"/>
  <c r="V21" i="7"/>
  <c r="P26" i="4"/>
  <c r="E28" i="5"/>
  <c r="E18" i="7"/>
  <c r="P71" i="4"/>
  <c r="P81" i="4" s="1"/>
  <c r="P84" i="4" s="1"/>
  <c r="P85" i="4" l="1"/>
  <c r="P86" i="4"/>
  <c r="U17" i="7"/>
  <c r="Q27" i="4"/>
  <c r="E17" i="5" l="1"/>
  <c r="I18" i="7"/>
  <c r="Q65" i="4"/>
  <c r="E43" i="5" s="1"/>
  <c r="R14" i="4"/>
  <c r="Q29" i="4"/>
  <c r="B19" i="7" l="1"/>
  <c r="R16" i="4"/>
  <c r="R15" i="4"/>
  <c r="R108" i="2"/>
  <c r="S76" i="4" s="1"/>
  <c r="K18" i="7"/>
  <c r="E19" i="5"/>
  <c r="Q37" i="4"/>
  <c r="Q56" i="4"/>
  <c r="Q60" i="4" s="1"/>
  <c r="Q58" i="4"/>
  <c r="O18" i="7" s="1"/>
  <c r="Q40" i="4" l="1"/>
  <c r="Q68" i="4"/>
  <c r="R77" i="4"/>
  <c r="N18" i="7"/>
  <c r="E40" i="5"/>
  <c r="Q62" i="4"/>
  <c r="Q61" i="4"/>
  <c r="M18" i="7" l="1"/>
  <c r="E41" i="5"/>
  <c r="E42" i="5"/>
  <c r="Q64" i="4"/>
  <c r="E22" i="5" s="1"/>
  <c r="Q69" i="4"/>
  <c r="Q79" i="4" s="1"/>
  <c r="Q23" i="4"/>
  <c r="T18" i="7" l="1"/>
  <c r="E13" i="5"/>
  <c r="Q24" i="4"/>
  <c r="Q30" i="4"/>
  <c r="Q39" i="4"/>
  <c r="S18" i="7" l="1"/>
  <c r="Z18" i="7"/>
  <c r="Q41" i="4"/>
  <c r="Q36" i="4"/>
  <c r="R28" i="4" s="1"/>
  <c r="X18" i="7"/>
  <c r="Q31" i="4"/>
  <c r="Q32" i="4" s="1"/>
  <c r="E27" i="5" l="1"/>
  <c r="T52" i="4"/>
  <c r="Q44" i="4"/>
  <c r="T51" i="4"/>
  <c r="E20" i="5"/>
  <c r="J18" i="7"/>
  <c r="Q49" i="4"/>
  <c r="S22" i="4"/>
  <c r="S48" i="4" s="1"/>
  <c r="R35" i="4"/>
  <c r="R38" i="4" s="1"/>
  <c r="W20" i="7" l="1"/>
  <c r="S78" i="4"/>
  <c r="R43" i="4"/>
  <c r="U46" i="4"/>
  <c r="U47" i="4"/>
  <c r="AG21" i="7"/>
  <c r="T53" i="4"/>
  <c r="T80" i="4" s="1"/>
  <c r="U57" i="4"/>
  <c r="AI22" i="7" s="1"/>
  <c r="E29" i="5"/>
  <c r="Q82" i="4"/>
  <c r="E30" i="5"/>
  <c r="Q70" i="4"/>
  <c r="Q50" i="4"/>
  <c r="AH21" i="7"/>
  <c r="L20" i="7"/>
  <c r="V22" i="7" l="1"/>
  <c r="E32" i="5"/>
  <c r="Q71" i="4"/>
  <c r="Q81" i="4" s="1"/>
  <c r="Q84" i="4" s="1"/>
  <c r="Q26" i="4"/>
  <c r="V55" i="4"/>
  <c r="E19" i="7"/>
  <c r="Q85" i="4" l="1"/>
  <c r="Q86" i="4"/>
  <c r="U18" i="7"/>
  <c r="R27" i="4"/>
  <c r="R29" i="4" s="1"/>
  <c r="K19" i="7" l="1"/>
  <c r="R37" i="4"/>
  <c r="R58" i="4"/>
  <c r="O19" i="7" s="1"/>
  <c r="R56" i="4"/>
  <c r="R60" i="4" s="1"/>
  <c r="I19" i="7"/>
  <c r="R65" i="4"/>
  <c r="S14" i="4"/>
  <c r="B20" i="7" l="1"/>
  <c r="S16" i="4"/>
  <c r="S15" i="4"/>
  <c r="S108" i="2"/>
  <c r="T76" i="4" s="1"/>
  <c r="N19" i="7"/>
  <c r="R62" i="4"/>
  <c r="R64" i="4" s="1"/>
  <c r="R61" i="4"/>
  <c r="R40" i="4"/>
  <c r="R68" i="4"/>
  <c r="R69" i="4" l="1"/>
  <c r="R79" i="4" s="1"/>
  <c r="R23" i="4"/>
  <c r="M19" i="7"/>
  <c r="S77" i="4"/>
  <c r="T19" i="7" l="1"/>
  <c r="R24" i="4"/>
  <c r="R30" i="4"/>
  <c r="R39" i="4"/>
  <c r="S19" i="7" l="1"/>
  <c r="Z19" i="7"/>
  <c r="R41" i="4"/>
  <c r="X19" i="7"/>
  <c r="R31" i="4"/>
  <c r="R32" i="4" s="1"/>
  <c r="R36" i="4"/>
  <c r="S28" i="4" s="1"/>
  <c r="T22" i="4" l="1"/>
  <c r="T48" i="4" s="1"/>
  <c r="S35" i="4"/>
  <c r="S38" i="4" s="1"/>
  <c r="U52" i="4"/>
  <c r="R44" i="4"/>
  <c r="U51" i="4"/>
  <c r="J19" i="7"/>
  <c r="R49" i="4"/>
  <c r="W21" i="7" l="1"/>
  <c r="T78" i="4"/>
  <c r="AG22" i="7"/>
  <c r="U53" i="4"/>
  <c r="U80" i="4" s="1"/>
  <c r="V57" i="4"/>
  <c r="AI23" i="7" s="1"/>
  <c r="V47" i="4"/>
  <c r="S43" i="4"/>
  <c r="V46" i="4"/>
  <c r="R70" i="4"/>
  <c r="R50" i="4"/>
  <c r="R82" i="4" s="1"/>
  <c r="AH22" i="7"/>
  <c r="L21" i="7"/>
  <c r="R26" i="4" l="1"/>
  <c r="V23" i="7"/>
  <c r="U19" i="7"/>
  <c r="S27" i="4"/>
  <c r="R71" i="4"/>
  <c r="R81" i="4" s="1"/>
  <c r="R84" i="4" s="1"/>
  <c r="E20" i="7"/>
  <c r="F36" i="5"/>
  <c r="W55" i="4"/>
  <c r="R85" i="4" l="1"/>
  <c r="R86" i="4"/>
  <c r="I20" i="7"/>
  <c r="S65" i="4"/>
  <c r="T14" i="4"/>
  <c r="S29" i="4"/>
  <c r="B21" i="7" l="1"/>
  <c r="T16" i="4"/>
  <c r="T15" i="4"/>
  <c r="T108" i="2"/>
  <c r="U76" i="4" s="1"/>
  <c r="K20" i="7"/>
  <c r="S37" i="4"/>
  <c r="S58" i="4"/>
  <c r="O20" i="7" s="1"/>
  <c r="S56" i="4"/>
  <c r="S60" i="4" s="1"/>
  <c r="N20" i="7" l="1"/>
  <c r="S62" i="4"/>
  <c r="S64" i="4" s="1"/>
  <c r="S61" i="4"/>
  <c r="S68" i="4"/>
  <c r="S40" i="4"/>
  <c r="T77" i="4"/>
  <c r="M20" i="7" l="1"/>
  <c r="S69" i="4"/>
  <c r="S79" i="4" s="1"/>
  <c r="S23" i="4"/>
  <c r="T20" i="7" l="1"/>
  <c r="S24" i="4"/>
  <c r="S30" i="4"/>
  <c r="S39" i="4"/>
  <c r="S20" i="7" l="1"/>
  <c r="Z20" i="7"/>
  <c r="S41" i="4"/>
  <c r="S36" i="4"/>
  <c r="T28" i="4" s="1"/>
  <c r="X20" i="7"/>
  <c r="S31" i="4"/>
  <c r="S32" i="4" s="1"/>
  <c r="J20" i="7" l="1"/>
  <c r="S49" i="4"/>
  <c r="V51" i="4"/>
  <c r="V52" i="4"/>
  <c r="S44" i="4"/>
  <c r="U22" i="4"/>
  <c r="U48" i="4" s="1"/>
  <c r="T35" i="4"/>
  <c r="T38" i="4" s="1"/>
  <c r="W22" i="7" l="1"/>
  <c r="U78" i="4"/>
  <c r="L22" i="7"/>
  <c r="W46" i="4"/>
  <c r="W47" i="4"/>
  <c r="T43" i="4"/>
  <c r="S26" i="4"/>
  <c r="AH23" i="7"/>
  <c r="F38" i="5"/>
  <c r="AG23" i="7"/>
  <c r="V53" i="4"/>
  <c r="V80" i="4" s="1"/>
  <c r="W57" i="4"/>
  <c r="AI24" i="7" s="1"/>
  <c r="S50" i="4"/>
  <c r="S82" i="4" s="1"/>
  <c r="S70" i="4"/>
  <c r="U20" i="7" l="1"/>
  <c r="T27" i="4"/>
  <c r="E21" i="7"/>
  <c r="V24" i="7"/>
  <c r="S71" i="4"/>
  <c r="S81" i="4" s="1"/>
  <c r="S84" i="4" s="1"/>
  <c r="X55" i="4"/>
  <c r="S85" i="4" l="1"/>
  <c r="S86" i="4"/>
  <c r="I21" i="7"/>
  <c r="T65" i="4"/>
  <c r="U14" i="4"/>
  <c r="T29" i="4"/>
  <c r="B22" i="7" l="1"/>
  <c r="U16" i="4"/>
  <c r="U15" i="4"/>
  <c r="U108" i="2"/>
  <c r="V76" i="4" s="1"/>
  <c r="K21" i="7"/>
  <c r="T37" i="4"/>
  <c r="T56" i="4"/>
  <c r="T58" i="4"/>
  <c r="O21" i="7" s="1"/>
  <c r="T60" i="4" l="1"/>
  <c r="T40" i="4"/>
  <c r="T68" i="4"/>
  <c r="U77" i="4"/>
  <c r="N21" i="7"/>
  <c r="T62" i="4"/>
  <c r="T64" i="4" s="1"/>
  <c r="T61" i="4"/>
  <c r="M21" i="7" l="1"/>
  <c r="T69" i="4"/>
  <c r="T79" i="4" s="1"/>
  <c r="T23" i="4"/>
  <c r="T21" i="7" l="1"/>
  <c r="T24" i="4"/>
  <c r="T39" i="4"/>
  <c r="T30" i="4"/>
  <c r="X21" i="7" l="1"/>
  <c r="T31" i="4"/>
  <c r="T32" i="4" s="1"/>
  <c r="S21" i="7"/>
  <c r="Z21" i="7"/>
  <c r="T41" i="4"/>
  <c r="T36" i="4"/>
  <c r="U28" i="4" s="1"/>
  <c r="W52" i="4" l="1"/>
  <c r="W51" i="4"/>
  <c r="T44" i="4"/>
  <c r="U35" i="4"/>
  <c r="U38" i="4" s="1"/>
  <c r="V22" i="4"/>
  <c r="V48" i="4" s="1"/>
  <c r="T49" i="4"/>
  <c r="J21" i="7"/>
  <c r="W23" i="7" l="1"/>
  <c r="F37" i="5"/>
  <c r="V78" i="4"/>
  <c r="X46" i="4"/>
  <c r="U43" i="4"/>
  <c r="X47" i="4"/>
  <c r="T50" i="4"/>
  <c r="T70" i="4"/>
  <c r="L23" i="7"/>
  <c r="AG24" i="7"/>
  <c r="W53" i="4"/>
  <c r="W80" i="4" s="1"/>
  <c r="X57" i="4"/>
  <c r="AI25" i="7" s="1"/>
  <c r="AH24" i="7"/>
  <c r="T71" i="4" l="1"/>
  <c r="T81" i="4" s="1"/>
  <c r="T26" i="4"/>
  <c r="T82" i="4"/>
  <c r="V25" i="7"/>
  <c r="E22" i="7"/>
  <c r="Y55" i="4"/>
  <c r="T84" i="4" l="1"/>
  <c r="U21" i="7"/>
  <c r="U27" i="4"/>
  <c r="U29" i="4" s="1"/>
  <c r="K22" i="7" l="1"/>
  <c r="U37" i="4"/>
  <c r="U58" i="4"/>
  <c r="O22" i="7" s="1"/>
  <c r="U56" i="4"/>
  <c r="U60" i="4" s="1"/>
  <c r="I22" i="7"/>
  <c r="U65" i="4"/>
  <c r="V14" i="4"/>
  <c r="T85" i="4"/>
  <c r="T86" i="4"/>
  <c r="B23" i="7" l="1"/>
  <c r="F11" i="5"/>
  <c r="V108" i="2"/>
  <c r="W76" i="4" s="1"/>
  <c r="V16" i="4"/>
  <c r="V15" i="4"/>
  <c r="U68" i="4"/>
  <c r="U40" i="4"/>
  <c r="N22" i="7"/>
  <c r="U62" i="4"/>
  <c r="U64" i="4" s="1"/>
  <c r="U61" i="4"/>
  <c r="U69" i="4" l="1"/>
  <c r="U79" i="4"/>
  <c r="U23" i="4"/>
  <c r="M22" i="7"/>
  <c r="V77" i="4"/>
  <c r="T22" i="7" l="1"/>
  <c r="U24" i="4"/>
  <c r="U39" i="4"/>
  <c r="U30" i="4"/>
  <c r="X22" i="7" l="1"/>
  <c r="U31" i="4"/>
  <c r="U32" i="4" s="1"/>
  <c r="S22" i="7"/>
  <c r="Z22" i="7"/>
  <c r="U41" i="4"/>
  <c r="U36" i="4"/>
  <c r="V28" i="4" s="1"/>
  <c r="W22" i="4" l="1"/>
  <c r="W48" i="4" s="1"/>
  <c r="V35" i="4"/>
  <c r="V38" i="4" s="1"/>
  <c r="J22" i="7"/>
  <c r="U49" i="4"/>
  <c r="X51" i="4"/>
  <c r="X52" i="4"/>
  <c r="U44" i="4"/>
  <c r="W24" i="7" l="1"/>
  <c r="W78" i="4"/>
  <c r="U50" i="4"/>
  <c r="U70" i="4"/>
  <c r="U82" i="4"/>
  <c r="U26" i="4"/>
  <c r="AG25" i="7"/>
  <c r="X53" i="4"/>
  <c r="X80" i="4" s="1"/>
  <c r="Y57" i="4"/>
  <c r="AI26" i="7" s="1"/>
  <c r="F26" i="5"/>
  <c r="Y47" i="4"/>
  <c r="Y46" i="4"/>
  <c r="V43" i="4"/>
  <c r="AH25" i="7"/>
  <c r="L24" i="7"/>
  <c r="U22" i="7" l="1"/>
  <c r="V27" i="4"/>
  <c r="V29" i="4" s="1"/>
  <c r="E23" i="7"/>
  <c r="F28" i="5"/>
  <c r="Z55" i="4"/>
  <c r="V26" i="7"/>
  <c r="U71" i="4"/>
  <c r="U81" i="4"/>
  <c r="U84" i="4" s="1"/>
  <c r="U85" i="4" l="1"/>
  <c r="U86" i="4"/>
  <c r="I23" i="7"/>
  <c r="F17" i="5"/>
  <c r="V65" i="4"/>
  <c r="F43" i="5" s="1"/>
  <c r="W14" i="4"/>
  <c r="K23" i="7"/>
  <c r="F19" i="5"/>
  <c r="V37" i="4"/>
  <c r="V56" i="4"/>
  <c r="V58" i="4"/>
  <c r="O23" i="7" s="1"/>
  <c r="V60" i="4" l="1"/>
  <c r="N23" i="7"/>
  <c r="F40" i="5"/>
  <c r="V62" i="4"/>
  <c r="V61" i="4"/>
  <c r="V40" i="4"/>
  <c r="V68" i="4"/>
  <c r="B24" i="7"/>
  <c r="W15" i="4"/>
  <c r="W108" i="2"/>
  <c r="X76" i="4" s="1"/>
  <c r="W16" i="4"/>
  <c r="V69" i="4" l="1"/>
  <c r="V79" i="4"/>
  <c r="V23" i="4"/>
  <c r="M23" i="7"/>
  <c r="F41" i="5"/>
  <c r="F42" i="5"/>
  <c r="V64" i="4"/>
  <c r="F22" i="5" s="1"/>
  <c r="W77" i="4"/>
  <c r="T23" i="7" l="1"/>
  <c r="F13" i="5"/>
  <c r="V24" i="4"/>
  <c r="V30" i="4"/>
  <c r="V39" i="4"/>
  <c r="S23" i="7" l="1"/>
  <c r="Z23" i="7"/>
  <c r="V41" i="4"/>
  <c r="X23" i="7"/>
  <c r="V31" i="4"/>
  <c r="V32" i="4" s="1"/>
  <c r="V36" i="4"/>
  <c r="W28" i="4" s="1"/>
  <c r="X22" i="4" l="1"/>
  <c r="X48" i="4" s="1"/>
  <c r="W35" i="4"/>
  <c r="W38" i="4" s="1"/>
  <c r="F27" i="5"/>
  <c r="Y51" i="4"/>
  <c r="V44" i="4"/>
  <c r="Y52" i="4"/>
  <c r="J23" i="7"/>
  <c r="F20" i="5"/>
  <c r="V49" i="4"/>
  <c r="W25" i="7" l="1"/>
  <c r="X78" i="4"/>
  <c r="AG26" i="7"/>
  <c r="Y53" i="4"/>
  <c r="Y80" i="4"/>
  <c r="Z57" i="4"/>
  <c r="AI27" i="7" s="1"/>
  <c r="F30" i="5"/>
  <c r="V70" i="4"/>
  <c r="V50" i="4"/>
  <c r="AH26" i="7"/>
  <c r="F29" i="5"/>
  <c r="Z47" i="4"/>
  <c r="Z46" i="4"/>
  <c r="W43" i="4"/>
  <c r="L25" i="7"/>
  <c r="F32" i="5" l="1"/>
  <c r="V71" i="4"/>
  <c r="V81" i="4" s="1"/>
  <c r="AA55" i="4"/>
  <c r="V27" i="7"/>
  <c r="V26" i="4"/>
  <c r="E24" i="7"/>
  <c r="V82" i="4"/>
  <c r="U23" i="7" l="1"/>
  <c r="W27" i="4"/>
  <c r="V84" i="4"/>
  <c r="V85" i="4" l="1"/>
  <c r="V86" i="4"/>
  <c r="I24" i="7"/>
  <c r="W65" i="4"/>
  <c r="X14" i="4"/>
  <c r="W29" i="4"/>
  <c r="B25" i="7" l="1"/>
  <c r="X15" i="4"/>
  <c r="X108" i="2"/>
  <c r="Y76" i="4" s="1"/>
  <c r="X16" i="4"/>
  <c r="K24" i="7"/>
  <c r="W37" i="4"/>
  <c r="W58" i="4"/>
  <c r="O24" i="7" s="1"/>
  <c r="W56" i="4"/>
  <c r="W60" i="4" s="1"/>
  <c r="N24" i="7" l="1"/>
  <c r="W62" i="4"/>
  <c r="W64" i="4" s="1"/>
  <c r="W61" i="4"/>
  <c r="W68" i="4"/>
  <c r="W40" i="4"/>
  <c r="X77" i="4"/>
  <c r="W69" i="4" l="1"/>
  <c r="W79" i="4" s="1"/>
  <c r="W23" i="4"/>
  <c r="M24" i="7"/>
  <c r="T24" i="7" l="1"/>
  <c r="W24" i="4"/>
  <c r="W39" i="4"/>
  <c r="W30" i="4"/>
  <c r="X24" i="7" l="1"/>
  <c r="W31" i="4"/>
  <c r="W32" i="4" s="1"/>
  <c r="S24" i="7"/>
  <c r="Z24" i="7"/>
  <c r="W41" i="4"/>
  <c r="W36" i="4"/>
  <c r="X28" i="4" s="1"/>
  <c r="Y22" i="4" l="1"/>
  <c r="Y48" i="4" s="1"/>
  <c r="X35" i="4"/>
  <c r="X38" i="4" s="1"/>
  <c r="J24" i="7"/>
  <c r="W49" i="4"/>
  <c r="Z52" i="4"/>
  <c r="Z51" i="4"/>
  <c r="W44" i="4"/>
  <c r="W26" i="7" l="1"/>
  <c r="Y78" i="4"/>
  <c r="AH27" i="7"/>
  <c r="AG27" i="7"/>
  <c r="Z53" i="4"/>
  <c r="Z80" i="4" s="1"/>
  <c r="AA57" i="4"/>
  <c r="AI28" i="7" s="1"/>
  <c r="AA46" i="4"/>
  <c r="AA47" i="4"/>
  <c r="X43" i="4"/>
  <c r="W70" i="4"/>
  <c r="W50" i="4"/>
  <c r="L26" i="7"/>
  <c r="W26" i="4" l="1"/>
  <c r="W71" i="4"/>
  <c r="W81" i="4" s="1"/>
  <c r="E25" i="7"/>
  <c r="V28" i="7"/>
  <c r="W82" i="4"/>
  <c r="AB55" i="4"/>
  <c r="U24" i="7" l="1"/>
  <c r="X27" i="4"/>
  <c r="W84" i="4"/>
  <c r="I25" i="7" l="1"/>
  <c r="X65" i="4"/>
  <c r="Y14" i="4"/>
  <c r="X29" i="4"/>
  <c r="W85" i="4"/>
  <c r="W86" i="4"/>
  <c r="B26" i="7" l="1"/>
  <c r="Y16" i="4"/>
  <c r="Y15" i="4"/>
  <c r="Y108" i="2"/>
  <c r="Z76" i="4" s="1"/>
  <c r="K25" i="7"/>
  <c r="X37" i="4"/>
  <c r="X58" i="4"/>
  <c r="O25" i="7" s="1"/>
  <c r="X56" i="4"/>
  <c r="X60" i="4" l="1"/>
  <c r="X68" i="4"/>
  <c r="X40" i="4"/>
  <c r="Y77" i="4"/>
  <c r="X69" i="4" l="1"/>
  <c r="X79" i="4" s="1"/>
  <c r="X23" i="4"/>
  <c r="N25" i="7"/>
  <c r="X62" i="4"/>
  <c r="X64" i="4" s="1"/>
  <c r="X61" i="4"/>
  <c r="M25" i="7" l="1"/>
  <c r="T25" i="7"/>
  <c r="X24" i="4"/>
  <c r="X30" i="4"/>
  <c r="X39" i="4"/>
  <c r="X36" i="4" l="1"/>
  <c r="Y28" i="4" s="1"/>
  <c r="S25" i="7"/>
  <c r="Z25" i="7"/>
  <c r="X41" i="4"/>
  <c r="X25" i="7"/>
  <c r="X31" i="4"/>
  <c r="X32" i="4" s="1"/>
  <c r="X44" i="4" l="1"/>
  <c r="AA51" i="4"/>
  <c r="AA52" i="4"/>
  <c r="J25" i="7"/>
  <c r="X49" i="4"/>
  <c r="Z22" i="4"/>
  <c r="Z48" i="4" s="1"/>
  <c r="Y35" i="4"/>
  <c r="Y38" i="4" s="1"/>
  <c r="W27" i="7" l="1"/>
  <c r="Z78" i="4"/>
  <c r="L27" i="7"/>
  <c r="X70" i="4"/>
  <c r="X50" i="4"/>
  <c r="X82" i="4" s="1"/>
  <c r="AH28" i="7"/>
  <c r="AG28" i="7"/>
  <c r="AA53" i="4"/>
  <c r="AA80" i="4" s="1"/>
  <c r="AB57" i="4"/>
  <c r="AI29" i="7" s="1"/>
  <c r="AB46" i="4"/>
  <c r="AB47" i="4"/>
  <c r="V29" i="7" s="1"/>
  <c r="Y43" i="4"/>
  <c r="X26" i="4" l="1"/>
  <c r="U25" i="7"/>
  <c r="Y27" i="4"/>
  <c r="X71" i="4"/>
  <c r="X81" i="4" s="1"/>
  <c r="X84" i="4" s="1"/>
  <c r="E26" i="7"/>
  <c r="X85" i="4" l="1"/>
  <c r="X86" i="4"/>
  <c r="I26" i="7"/>
  <c r="Y65" i="4"/>
  <c r="Z14" i="4"/>
  <c r="Y29" i="4"/>
  <c r="B27" i="7" l="1"/>
  <c r="Z16" i="4"/>
  <c r="Z108" i="2"/>
  <c r="AA76" i="4" s="1"/>
  <c r="Z15" i="4"/>
  <c r="K26" i="7"/>
  <c r="Y37" i="4"/>
  <c r="Y58" i="4"/>
  <c r="O26" i="7" s="1"/>
  <c r="Y56" i="4"/>
  <c r="Y60" i="4" s="1"/>
  <c r="N26" i="7" l="1"/>
  <c r="Y62" i="4"/>
  <c r="Y64" i="4" s="1"/>
  <c r="Y61" i="4"/>
  <c r="Z77" i="4"/>
  <c r="Y68" i="4"/>
  <c r="Y40" i="4"/>
  <c r="M26" i="7" l="1"/>
  <c r="Y69" i="4"/>
  <c r="Y79" i="4"/>
  <c r="Y23" i="4"/>
  <c r="T26" i="7" l="1"/>
  <c r="Y24" i="4"/>
  <c r="Y30" i="4"/>
  <c r="Y39" i="4"/>
  <c r="S26" i="7" l="1"/>
  <c r="Z26" i="7"/>
  <c r="Y41" i="4"/>
  <c r="X26" i="7"/>
  <c r="Y31" i="4"/>
  <c r="Y32" i="4" s="1"/>
  <c r="Y36" i="4"/>
  <c r="Z28" i="4" s="1"/>
  <c r="AB52" i="4" l="1"/>
  <c r="AH29" i="7" s="1"/>
  <c r="AB51" i="4"/>
  <c r="Y44" i="4"/>
  <c r="Z35" i="4"/>
  <c r="Z38" i="4" s="1"/>
  <c r="Z43" i="4" s="1"/>
  <c r="AA22" i="4"/>
  <c r="AA48" i="4" s="1"/>
  <c r="J26" i="7"/>
  <c r="Y49" i="4"/>
  <c r="W28" i="7" l="1"/>
  <c r="AA78" i="4"/>
  <c r="Y70" i="4"/>
  <c r="Y50" i="4"/>
  <c r="E27" i="7"/>
  <c r="L28" i="7"/>
  <c r="Y82" i="4"/>
  <c r="Y26" i="4"/>
  <c r="AG29" i="7"/>
  <c r="AB53" i="4"/>
  <c r="AB80" i="4" s="1"/>
  <c r="U26" i="7" l="1"/>
  <c r="Z27" i="4"/>
  <c r="Y71" i="4"/>
  <c r="Y81" i="4" s="1"/>
  <c r="Y84" i="4" s="1"/>
  <c r="Y85" i="4" l="1"/>
  <c r="Y86" i="4"/>
  <c r="I27" i="7"/>
  <c r="Z65" i="4"/>
  <c r="AA14" i="4"/>
  <c r="Z29" i="4"/>
  <c r="B28" i="7" l="1"/>
  <c r="AA15" i="4"/>
  <c r="AA16" i="4"/>
  <c r="AA108" i="2"/>
  <c r="AB76" i="4" s="1"/>
  <c r="K27" i="7"/>
  <c r="Z37" i="4"/>
  <c r="Z58" i="4"/>
  <c r="O27" i="7" s="1"/>
  <c r="Z56" i="4"/>
  <c r="Z60" i="4" s="1"/>
  <c r="Z68" i="4" l="1"/>
  <c r="Z40" i="4"/>
  <c r="N27" i="7"/>
  <c r="Z62" i="4"/>
  <c r="Z64" i="4" s="1"/>
  <c r="Z61" i="4"/>
  <c r="AA77" i="4"/>
  <c r="M27" i="7" l="1"/>
  <c r="Z69" i="4"/>
  <c r="Z79" i="4" s="1"/>
  <c r="Z23" i="4"/>
  <c r="T27" i="7" l="1"/>
  <c r="Z24" i="4"/>
  <c r="Z30" i="4"/>
  <c r="Z39" i="4"/>
  <c r="S27" i="7" l="1"/>
  <c r="Z27" i="7"/>
  <c r="Z41" i="4"/>
  <c r="Z44" i="4" s="1"/>
  <c r="Z36" i="4"/>
  <c r="AA28" i="4" s="1"/>
  <c r="X27" i="7"/>
  <c r="Z31" i="4"/>
  <c r="Z32" i="4" s="1"/>
  <c r="AB22" i="4" l="1"/>
  <c r="AB48" i="4" s="1"/>
  <c r="AA35" i="4"/>
  <c r="AA38" i="4" s="1"/>
  <c r="AA43" i="4" s="1"/>
  <c r="J27" i="7"/>
  <c r="Z49" i="4"/>
  <c r="W29" i="7" l="1"/>
  <c r="AB78" i="4"/>
  <c r="E28" i="7"/>
  <c r="Z50" i="4"/>
  <c r="Z70" i="4"/>
  <c r="L29" i="7"/>
  <c r="Z71" i="4" l="1"/>
  <c r="Z81" i="4" s="1"/>
  <c r="Z26" i="4"/>
  <c r="Z82" i="4"/>
  <c r="Z84" i="4" l="1"/>
  <c r="U27" i="7"/>
  <c r="AA27" i="4"/>
  <c r="I28" i="7" l="1"/>
  <c r="AA65" i="4"/>
  <c r="AB14" i="4"/>
  <c r="AA29" i="4"/>
  <c r="Z85" i="4"/>
  <c r="Z86" i="4"/>
  <c r="K28" i="7" l="1"/>
  <c r="AA37" i="4"/>
  <c r="AA58" i="4"/>
  <c r="O28" i="7" s="1"/>
  <c r="AA56" i="4"/>
  <c r="AA60" i="4" s="1"/>
  <c r="B29" i="7"/>
  <c r="AB16" i="4"/>
  <c r="AB15" i="4"/>
  <c r="AB77" i="4" l="1"/>
  <c r="AA68" i="4"/>
  <c r="AA40" i="4"/>
  <c r="N28" i="7"/>
  <c r="AA62" i="4"/>
  <c r="AA64" i="4" s="1"/>
  <c r="AA61" i="4"/>
  <c r="AA69" i="4" l="1"/>
  <c r="AA79" i="4" s="1"/>
  <c r="AA23" i="4"/>
  <c r="M28" i="7"/>
  <c r="T28" i="7" l="1"/>
  <c r="AA24" i="4"/>
  <c r="AA30" i="4"/>
  <c r="AA39" i="4"/>
  <c r="X28" i="7" l="1"/>
  <c r="AA31" i="4"/>
  <c r="AA32" i="4" s="1"/>
  <c r="S28" i="7"/>
  <c r="Z28" i="7"/>
  <c r="AA41" i="4"/>
  <c r="AA44" i="4" s="1"/>
  <c r="AA36" i="4"/>
  <c r="AB28" i="4" s="1"/>
  <c r="AB35" i="4" s="1"/>
  <c r="AB38" i="4" s="1"/>
  <c r="AB43" i="4" s="1"/>
  <c r="AA49" i="4" l="1"/>
  <c r="J28" i="7"/>
  <c r="E29" i="7"/>
  <c r="AA70" i="4" l="1"/>
  <c r="AA50" i="4"/>
  <c r="AA71" i="4" l="1"/>
  <c r="AA81" i="4" s="1"/>
  <c r="AA82" i="4"/>
  <c r="AA26" i="4"/>
  <c r="AA84" i="4" l="1"/>
  <c r="U28" i="7"/>
  <c r="AB27" i="4"/>
  <c r="AB29" i="4" s="1"/>
  <c r="K29" i="7" l="1"/>
  <c r="AB37" i="4"/>
  <c r="AB56" i="4"/>
  <c r="AB58" i="4"/>
  <c r="O29" i="7" s="1"/>
  <c r="I29" i="7"/>
  <c r="AC27" i="4"/>
  <c r="AB65" i="4"/>
  <c r="AA85" i="4"/>
  <c r="AA86" i="4"/>
  <c r="AB60" i="4" l="1"/>
  <c r="N29" i="7"/>
  <c r="AB62" i="4"/>
  <c r="AB64" i="4" s="1"/>
  <c r="AB61" i="4"/>
  <c r="M29" i="7" s="1"/>
  <c r="AB40" i="4"/>
  <c r="AB68" i="4"/>
  <c r="AB69" i="4" l="1"/>
  <c r="AB79" i="4" s="1"/>
  <c r="AB23" i="4"/>
  <c r="T29" i="7" l="1"/>
  <c r="AB24" i="4"/>
  <c r="AB39" i="4"/>
  <c r="AB30" i="4"/>
  <c r="X29" i="7" l="1"/>
  <c r="AB31" i="4"/>
  <c r="AB32" i="4" s="1"/>
  <c r="AB36" i="4"/>
  <c r="S29" i="7"/>
  <c r="Z29" i="7"/>
  <c r="AB41" i="4"/>
  <c r="AB44" i="4" s="1"/>
  <c r="AB49" i="4" l="1"/>
  <c r="J29" i="7"/>
  <c r="AB50" i="4" l="1"/>
  <c r="AB70" i="4"/>
  <c r="AB71" i="4" l="1"/>
  <c r="AB81" i="4" s="1"/>
  <c r="AB82" i="4"/>
  <c r="AB26" i="4"/>
  <c r="U29" i="7" s="1"/>
  <c r="AB84" i="4" l="1"/>
  <c r="AB86" i="4" s="1"/>
  <c r="AB85" i="4" l="1"/>
</calcChain>
</file>

<file path=xl/sharedStrings.xml><?xml version="1.0" encoding="utf-8"?>
<sst xmlns="http://schemas.openxmlformats.org/spreadsheetml/2006/main" count="2319" uniqueCount="1003">
  <si>
    <t>ESEM Model v2 — Assumptions &amp; Scenario Parameters</t>
  </si>
  <si>
    <t>Parameter</t>
  </si>
  <si>
    <t>Description</t>
  </si>
  <si>
    <t>Active value</t>
  </si>
  <si>
    <t>Unit</t>
  </si>
  <si>
    <t>Source</t>
  </si>
  <si>
    <t>Low</t>
  </si>
  <si>
    <t>High</t>
  </si>
  <si>
    <t>Scenario label:</t>
  </si>
  <si>
    <t>Base</t>
  </si>
  <si>
    <t>High WACC</t>
  </si>
  <si>
    <t>No ESEM</t>
  </si>
  <si>
    <t>WACC disc</t>
  </si>
  <si>
    <t>Scenario</t>
  </si>
  <si>
    <t>Active scenario number (1=Base, 2=High WACC, 3=No ESEM, 4=WACC discount)</t>
  </si>
  <si>
    <t>1.  DEMAND &amp; SUPPLY</t>
  </si>
  <si>
    <t>Dem_Start</t>
  </si>
  <si>
    <t>Starting annual energy demand (TWh)</t>
  </si>
  <si>
    <t>TWh</t>
  </si>
  <si>
    <t>AEMO 2024</t>
  </si>
  <si>
    <t>Dem_Growth</t>
  </si>
  <si>
    <t>Annual demand growth rate</t>
  </si>
  <si>
    <t>%/yr</t>
  </si>
  <si>
    <t>AEMO ISP 2024</t>
  </si>
  <si>
    <t>Peak_Start</t>
  </si>
  <si>
    <t>Initial peak demand</t>
  </si>
  <si>
    <t>GW</t>
  </si>
  <si>
    <t>Peak_Growth</t>
  </si>
  <si>
    <t>Annual peak demand growth rate</t>
  </si>
  <si>
    <t>Own estimate</t>
  </si>
  <si>
    <t>Other_Firm</t>
  </si>
  <si>
    <t>Other firm capacity (interconnectors, DSR)</t>
  </si>
  <si>
    <t>VRE_PrePipe</t>
  </si>
  <si>
    <t>Pre-pipeline VRE under construction at t=0</t>
  </si>
  <si>
    <t>2.  COAL — Baseload exit trajectory</t>
  </si>
  <si>
    <t>Coal_Start</t>
  </si>
  <si>
    <t>Initial coal capacity</t>
  </si>
  <si>
    <t>Coal_CFe</t>
  </si>
  <si>
    <t>Coal energy capacity factor (annual)</t>
  </si>
  <si>
    <t>—</t>
  </si>
  <si>
    <t>Coal_CFp</t>
  </si>
  <si>
    <t>Coal peak capacity factor</t>
  </si>
  <si>
    <t>Coal_SRMC</t>
  </si>
  <si>
    <t>Coal short-run marginal cost</t>
  </si>
  <si>
    <t>$/MWh</t>
  </si>
  <si>
    <t>Coal_Esc</t>
  </si>
  <si>
    <t>Coal SRMC annual escalation</t>
  </si>
  <si>
    <t>Coal_Accel</t>
  </si>
  <si>
    <t>Coal economic exit acceleration factor</t>
  </si>
  <si>
    <t>Calibrated</t>
  </si>
  <si>
    <t>3.  EXISTING DISPATCHABLE FIRMING</t>
  </si>
  <si>
    <t>Firm_Start</t>
  </si>
  <si>
    <t>Initial dispatchable firm capacity (GW)</t>
  </si>
  <si>
    <t>Firm_Decay</t>
  </si>
  <si>
    <t>Annual depreciation on legacy firm fleet</t>
  </si>
  <si>
    <t>Firm_CFe</t>
  </si>
  <si>
    <t>Firming energy capacity factor (annual dispatch)</t>
  </si>
  <si>
    <t>Firm_CFp</t>
  </si>
  <si>
    <t>Firming peak capacity factor (availability)</t>
  </si>
  <si>
    <t>Firm_SRMC</t>
  </si>
  <si>
    <t>Firm dispatch cost — scarcity pivot at zero firming deficit (energy-only revenue floor)</t>
  </si>
  <si>
    <t>Firm_VC</t>
  </si>
  <si>
    <t>Gas variable cost (fuel + variable O&amp;M)</t>
  </si>
  <si>
    <t>Firm_LRMC</t>
  </si>
  <si>
    <t>Firm LRMC — BA fixed cost / (CFe x 8760) + fuel (auto-updates with Gas_WACC)</t>
  </si>
  <si>
    <t>Building Assets R94</t>
  </si>
  <si>
    <t>Firm_Sprd</t>
  </si>
  <si>
    <t>Private firming entry spread above LRMC</t>
  </si>
  <si>
    <t>Firm_Tight</t>
  </si>
  <si>
    <t>Scarcity price exponential coefficient</t>
  </si>
  <si>
    <t>Firm_Gen_CF</t>
  </si>
  <si>
    <t>Baseline annual energy capacity factor for legacy firm generationises.</t>
  </si>
  <si>
    <t>VRE_Start</t>
  </si>
  <si>
    <t>Initial VRE+storage capacity</t>
  </si>
  <si>
    <t>CF_Solar</t>
  </si>
  <si>
    <t>Solar capacity factor</t>
  </si>
  <si>
    <t>GenCost 2024</t>
  </si>
  <si>
    <t>CF_Wind</t>
  </si>
  <si>
    <t>Wind capacity factor</t>
  </si>
  <si>
    <t>Alpha_Solar</t>
  </si>
  <si>
    <t>Solar fraction of VRE portfolio</t>
  </si>
  <si>
    <t>Alpha_Wind</t>
  </si>
  <si>
    <t>Wind share (= 1 − Alpha_Solar) — computed</t>
  </si>
  <si>
    <t>Computed</t>
  </si>
  <si>
    <t>VRE_CFE</t>
  </si>
  <si>
    <t>VRE+storage capacity factor</t>
  </si>
  <si>
    <t>ELCC_base</t>
  </si>
  <si>
    <t xml:space="preserve">VRE effective load carrying capability at zero penetration. </t>
  </si>
  <si>
    <t>VRE_ELCC</t>
  </si>
  <si>
    <t>VRE effective load carrying capability — endogenised as ELCC_base × (1 − VRE_Share0). Falls as VRE penetration rises, consistent with AEMO ISP. At 32% share (base): ~10%. At 80% share: ~3%.</t>
  </si>
  <si>
    <t>Computed — =ELCC_base×(1−VRE_Share0)</t>
  </si>
  <si>
    <t>VRE_Ratio</t>
  </si>
  <si>
    <t>VRE nameplate per kW-storage (sizing ratio)</t>
  </si>
  <si>
    <t>ratio</t>
  </si>
  <si>
    <t>VRE_Sprd</t>
  </si>
  <si>
    <t>Private VRE entry spread above forward price</t>
  </si>
  <si>
    <t>VRE_Dep</t>
  </si>
  <si>
    <t>VRE stock annual depreciation rate</t>
  </si>
  <si>
    <t>Direct_Flow</t>
  </si>
  <si>
    <t>VRE direct-to-load fraction (bypasses battery)</t>
  </si>
  <si>
    <t>Estimate</t>
  </si>
  <si>
    <t>Battery_RTE</t>
  </si>
  <si>
    <t>Battery round-trip efficiency</t>
  </si>
  <si>
    <t>Y1_Build</t>
  </si>
  <si>
    <t>GW of VRE + Battery entering y1</t>
  </si>
  <si>
    <t>4b. BATTERY DURATION MIX (weights must sum to 1)</t>
  </si>
  <si>
    <t>Batt_w1h</t>
  </si>
  <si>
    <t>Portfolio weight: 1-hour battery</t>
  </si>
  <si>
    <t>Batt_w2h</t>
  </si>
  <si>
    <t>Portfolio weight: 2-hour battery</t>
  </si>
  <si>
    <t>Batt_w4h</t>
  </si>
  <si>
    <t>Portfolio weight: 4-hour battery</t>
  </si>
  <si>
    <t>Batt_w8h</t>
  </si>
  <si>
    <t>Portfolio weight: 8-hour battery</t>
  </si>
  <si>
    <t>Weight sum check (must = 1)</t>
  </si>
  <si>
    <t>5.  FINANCING (WACC)</t>
  </si>
  <si>
    <t>Batt_WACC</t>
  </si>
  <si>
    <t>Battery project WACC</t>
  </si>
  <si>
    <t>%</t>
  </si>
  <si>
    <t>VRE_WACC_S</t>
  </si>
  <si>
    <t>Solar VRE project WACC</t>
  </si>
  <si>
    <t>VRE_WACC_W</t>
  </si>
  <si>
    <t>Wind VRE project WACC</t>
  </si>
  <si>
    <t>Gas_WACC</t>
  </si>
  <si>
    <t>Gas / firm capacity WACC</t>
  </si>
  <si>
    <t>ESEM_WACC_Disc</t>
  </si>
  <si>
    <t>WACC discount from ESEM CfD de-risking</t>
  </si>
  <si>
    <t>Policy</t>
  </si>
  <si>
    <t>6.  PRICE FORMATION</t>
  </si>
  <si>
    <t>Surp_Elas</t>
  </si>
  <si>
    <t>Surplus elasticity: WS sensitivity to VRE surplus</t>
  </si>
  <si>
    <t>Def_Elas</t>
  </si>
  <si>
    <t>Deficit elasticity: WS sensitivity to shortfall</t>
  </si>
  <si>
    <t>Fwd_k</t>
  </si>
  <si>
    <t>Forward price logistic steepness (higher = faster alpha response to balance)</t>
  </si>
  <si>
    <t>Curtail_Thresh</t>
  </si>
  <si>
    <t>VRE proportion when curtailment begins. Set at VRE_Share0</t>
  </si>
  <si>
    <t>Computed — =VRE_Share0</t>
  </si>
  <si>
    <t>Curtail_Rate</t>
  </si>
  <si>
    <t>Curtailment rate per unit VRE share above threshold</t>
  </si>
  <si>
    <t>7.  ESEM DESIGN</t>
  </si>
  <si>
    <t>ESEM_On</t>
  </si>
  <si>
    <t>ESEM active switch (1 = on, 0 = off)</t>
  </si>
  <si>
    <t>0/1</t>
  </si>
  <si>
    <t>ESEM_Start</t>
  </si>
  <si>
    <t>Year index when ESEM begins contracting</t>
  </si>
  <si>
    <t>years</t>
  </si>
  <si>
    <t>VRE_ShareT</t>
  </si>
  <si>
    <t>Target VRE share of annual demand</t>
  </si>
  <si>
    <t>RE_Cov</t>
  </si>
  <si>
    <t>ESEM VRE coverage rate (fraction of shortfall)</t>
  </si>
  <si>
    <t>Firm_Cov</t>
  </si>
  <si>
    <t>ESEM firming coverage rate</t>
  </si>
  <si>
    <t>Lag</t>
  </si>
  <si>
    <t>Contracting-to-online lag (years)</t>
  </si>
  <si>
    <t>Recycle_Lag</t>
  </si>
  <si>
    <t>Years ESEM holds VRE contracts before selling to retailers</t>
  </si>
  <si>
    <t>Contract_Years</t>
  </si>
  <si>
    <t>Total VRE contract length</t>
  </si>
  <si>
    <t>Divest_Rate</t>
  </si>
  <si>
    <t>Annual offtake divestment rate = 1/(Contract_Years−Recycle_Lag)</t>
  </si>
  <si>
    <t>ESEM_VRE_BuildCap</t>
  </si>
  <si>
    <t>Maximum capacity contracted by ESEM annually</t>
  </si>
  <si>
    <t>Markup_Base</t>
  </si>
  <si>
    <t>Base ESEM procurement markup above LRMC</t>
  </si>
  <si>
    <t>Markup_Rate</t>
  </si>
  <si>
    <t xml:space="preserve">Supply curve steepness — additional markup per GW of VRE contracted in that year. </t>
  </si>
  <si>
    <t>%/GW</t>
  </si>
  <si>
    <t>8.  CONTRACT ECONOMICS</t>
  </si>
  <si>
    <t>Admin_Cost</t>
  </si>
  <si>
    <t>Annual ESEM administration cost</t>
  </si>
  <si>
    <t>$m/yr</t>
  </si>
  <si>
    <t>estimate</t>
  </si>
  <si>
    <t>VRE_Share0</t>
  </si>
  <si>
    <t>Initial VRE share of demand — computed from VRE_Start × VRE_CFe × 8760 / Dem_Start. Used as starting point for target ramp (R34) and to set curtailment threshold.</t>
  </si>
  <si>
    <t>9.  COMPUTED / ENDOGENISED PARAMETERS  [no colour — reference only]</t>
  </si>
  <si>
    <t>These rows are derived from other assumptions. Do not edit directly — change the upstream parameters instead.</t>
  </si>
  <si>
    <t>Coal_Heat_Rate</t>
  </si>
  <si>
    <t>Thermal heat rate of existing black coal fleet (GJ per MWh dispatched). GenCost 2025-26 Table B.9 black coal: efficiency 42.12% → 3.6/0.4212.</t>
  </si>
  <si>
    <t>GJ/MWh</t>
  </si>
  <si>
    <t>GenCost 2025-26 Table B.9</t>
  </si>
  <si>
    <t>Coal_FOM</t>
  </si>
  <si>
    <t>Fixed O&amp;M for existing black coal plant ($/kW/yr). Accrues regardless of dispatch — labour, maintenance, insurance. GenCost 2025-26 Table B.9 black coal.</t>
  </si>
  <si>
    <t>$/kW/yr</t>
  </si>
  <si>
    <t>Coal_VOM</t>
  </si>
  <si>
    <t>Variable O&amp;M for black coal ($/MWh dispatched). Consumables and wear proportional to output. GenCost 2025-26 Table B.9.</t>
  </si>
  <si>
    <t>Coal_Price</t>
  </si>
  <si>
    <t>Domestic coal commodity price ($/GJ). Back-calculated to reconcile with Coal_SRMC=$80: (80 − VOM) / heat_rate = $8.81/GJ. GenCost uses $3/GJ (pre-2022 domestic contract); $8.81/GJ reflects post-2022 AUS domestic coal pricing. Escalates at Coal_Esc each year in Building Assets.</t>
  </si>
  <si>
    <t>$/GJ</t>
  </si>
  <si>
    <t>Own estimate — back-calculated from Coal_SRMC</t>
  </si>
  <si>
    <t>Coal_Degrade</t>
  </si>
  <si>
    <t>Annual reliability degradation rate of existing coal fleet (%/yr). Captures ageing equipment and cycling damage as VRE grows. Applied to Coal_CFe and Coal_CFp in Building Assets Section E.</t>
  </si>
  <si>
    <t>Own estimate — AEMO fleet age data</t>
  </si>
  <si>
    <t>BUILDING ASSETS — VRE+Storage and Firming LRMC Derivation</t>
  </si>
  <si>
    <t>Derives the all-in LRMC ($/MWh) of new-build VRE+storage and firming capacity from first principles. Uses GenCost 2025-26 capex trajectories, asset-specific WACCs, and a Delivered Energy Factor (DEF) to convert annual costs to $/MWh. Section C output feeds Model row 22. Section D output feeds Assumptions Firm_LRMC.</t>
  </si>
  <si>
    <t>All parameters are set on the Assumptions sheet. Section A shows them here for transparency. Do not edit parameters in this sheet.</t>
  </si>
  <si>
    <t>SECTION A — PARAMETERS  (controlled from Assumptions; shown here for transparency)</t>
  </si>
  <si>
    <t>Financing</t>
  </si>
  <si>
    <t>Battery WACC</t>
  </si>
  <si>
    <t>Solar WACC</t>
  </si>
  <si>
    <t>Wind WACC</t>
  </si>
  <si>
    <t>Gas OCGT WACC</t>
  </si>
  <si>
    <t>Economic lives (yrs)  [GenCost 2025-26]</t>
  </si>
  <si>
    <t>Battery</t>
  </si>
  <si>
    <t>Solar PV</t>
  </si>
  <si>
    <t>Wind</t>
  </si>
  <si>
    <t>Gas OCGT</t>
  </si>
  <si>
    <t xml:space="preserve">Battery replacement </t>
  </si>
  <si>
    <t>Cell replacement fraction of original capex</t>
  </si>
  <si>
    <t>Cell replacement year</t>
  </si>
  <si>
    <t>Portfolio composition</t>
  </si>
  <si>
    <t>VRE:storage ratio (kW VRE per kW storage)</t>
  </si>
  <si>
    <t>Solar share of VRE portfolio</t>
  </si>
  <si>
    <t>Wind share of VRE portfolio</t>
  </si>
  <si>
    <t>Direct-to-load fraction (bypasses storage)</t>
  </si>
  <si>
    <t>Battery duration weights  (set on Assumptions; sum must = 1)</t>
  </si>
  <si>
    <t>w_1h</t>
  </si>
  <si>
    <t>w_2h</t>
  </si>
  <si>
    <t>w_4h</t>
  </si>
  <si>
    <t>w_8h</t>
  </si>
  <si>
    <t>Weight sum check</t>
  </si>
  <si>
    <t>Weighted avg duration (hrs)</t>
  </si>
  <si>
    <t>Firming dispatch</t>
  </si>
  <si>
    <t>Firm dispatch CF (Firm_CFe)</t>
  </si>
  <si>
    <t>Firm variable cost $/MWh (fuel + var O&amp;M)</t>
  </si>
  <si>
    <t>SECTION B — CAPEX REFERENCE DATA  (GenCost 2025-26, Current Policies scenario, 2025-26 $A)</t>
  </si>
  <si>
    <t>Source: Graham, P. and Hayward, J. 2025, GenCost 2025-26: Consultation draft, CSIRO, Australia. Appendix Table B.1.</t>
  </si>
  <si>
    <t>Year (model index t)</t>
  </si>
  <si>
    <t>VRE+Storage capex ($/kW of nameplate capacity for each technology)</t>
  </si>
  <si>
    <t>1h battery ($/kW)</t>
  </si>
  <si>
    <t>2h battery ($/kW)</t>
  </si>
  <si>
    <t>4h battery ($/kW)</t>
  </si>
  <si>
    <t>8h battery ($/kW)</t>
  </si>
  <si>
    <t>Solar PV ($/kW)</t>
  </si>
  <si>
    <t>Wind onshore ($/kW)</t>
  </si>
  <si>
    <t>Firming capex ($/kW of nameplate capacity)</t>
  </si>
  <si>
    <t>Small OCGT ($/kW)</t>
  </si>
  <si>
    <t>Large OCGT ($/kW)</t>
  </si>
  <si>
    <t>SECTION C — VRE+STORAGE LRMC</t>
  </si>
  <si>
    <t>All costs expressed per kW of battery storage capacity installed. The bundle comprises 1 kW of storage backed by VRE_Ratio kW of generation. Output row feeds Model row 22 directly.</t>
  </si>
  <si>
    <t>C1 — Blended capex per kW of storage ($/kW)  [weights from Assumptions; data from Section B]</t>
  </si>
  <si>
    <t>Blended battery capex  ($/kW-storage)</t>
  </si>
  <si>
    <t>Solar capex × ratio  ($/kW-storage)</t>
  </si>
  <si>
    <t>Wind capex × ratio  ($/kW-storage)</t>
  </si>
  <si>
    <t>C2 — All-in annual cost per kW of storage ($/kW/yr)  [capital annuity + O&amp;M + battery replacement]</t>
  </si>
  <si>
    <t>Battery — capital annuity  [PMT at Batt_WACC, 20yr life]</t>
  </si>
  <si>
    <t>Battery — fixed O&amp;M (routine only: monitoring, insurance, maintenance) [$/kW/yr; own estimate ~$7–13 by duration. Excludes augmentation — handled separately via replacement annuity row above]</t>
  </si>
  <si>
    <t>Battery — cell replacement annuity  [50% capex at Year 12, discounted to PV]</t>
  </si>
  <si>
    <t>Solar — capital annuity × ratio  [PMT at VRE_WACC_S, 30yr life]</t>
  </si>
  <si>
    <t>Solar — fixed O&amp;M × ratio  [$12/kW/yr; GenCost 2025-26 Table B.9]</t>
  </si>
  <si>
    <t>Wind — capital annuity × ratio  [PMT at VRE_WACC_W, 25yr life]</t>
  </si>
  <si>
    <t>Wind — fixed O&amp;M × ratio  [$29/kW/yr; GenCost 2025-26 Table B.9]</t>
  </si>
  <si>
    <t>TOTAL all-in annual cost ($/kW-storage/yr)</t>
  </si>
  <si>
    <t>C3 — Delivered Energy Factor and LRMC  [DEF = MWh delivered per kW-storage per hour; accounts for VRE:storage ratio, RTE losses, direct flow, drought]</t>
  </si>
  <si>
    <t>VRE blended capacity factor  (Alpha_Solar×CF_Solar + Alpha_Wind×CF_Wind)</t>
  </si>
  <si>
    <t>Delivered Energy Factor (DEF)  = (Direct_Flow + (1−Direct_Flow)×RTE) × VRE_Ratio × VRE_CF_blended</t>
  </si>
  <si>
    <t>↓ OUTPUT: feeds Model row 22</t>
  </si>
  <si>
    <t>★  VRE+STORAGE LRMC ($/MWh)</t>
  </si>
  <si>
    <t>SECTION D — FIRMING LRMC  (Gas OCGT peaking capacity)</t>
  </si>
  <si>
    <t>Firming recovers capital through scarcity pricing during high-demand events, not continuous dispatch. LRMC converts fixed costs to $/MWh at the assumed dispatch frequency (Firm_CFe). Output (single value, Year 1) feeds Assumptions Firm_LRMC.</t>
  </si>
  <si>
    <t>D1/D2 — All-in annual cost ($/kW/yr)</t>
  </si>
  <si>
    <t>Blended OCGT capex — AVERAGE(small, large)  ($/kW)</t>
  </si>
  <si>
    <t>Capital annuity  [PMT at Gas_WACC, 25yr life]</t>
  </si>
  <si>
    <t>Fixed O&amp;M — AVERAGE($17 small, $26 large/kW/yr)  [GenCost 2025-26 Table B.9]</t>
  </si>
  <si>
    <t>TOTAL fixed cost ($/kW/yr)</t>
  </si>
  <si>
    <t>D3 — Sensitivity: implied $/MWh at various dispatch frequencies (Year 1 capex)</t>
  </si>
  <si>
    <t>D3 — Sensitivity: fixed cost ($/MWh) at various dispatch frequencies [Year 1 capex]</t>
  </si>
  <si>
    <t>Firm_CFe (active)</t>
  </si>
  <si>
    <t>3%</t>
  </si>
  <si>
    <t>5%</t>
  </si>
  <si>
    <t>8%</t>
  </si>
  <si>
    <t>10%</t>
  </si>
  <si>
    <t>Fixed cost ($/MWh excl. fuel)  — add Firm_VC for all-in Firm_LRMC</t>
  </si>
  <si>
    <t>★  FIRM LRMC ($/MWh) — time-varying across all years  [Assumptions Firm_LRMC references col B (Year 1); Model R49 and private firm accumulator use year-indexed values]</t>
  </si>
  <si>
    <t>SECTION E — COAL COST STRUCTURE  (existing fleet — no capex annuity; sunk cost excluded)</t>
  </si>
  <si>
    <t>Source: GenCost 2025-26 Table B.9 (black coal). No capital recovery — existing fleet capex is sunk. Fixed O&amp;M and variable/fuel costs only. Coal commodity price back-calculated to reconcile with Coal_SRMC assumption. Output feeds Model rows 13, 15, 16 and Total System Cost section.</t>
  </si>
  <si>
    <t>E1 — Physical parameters (constants, from Assumptions)</t>
  </si>
  <si>
    <t>Heat rate (GJ/MWh)  [GenCost B.9: efficiency 42.12%]</t>
  </si>
  <si>
    <t>Fixed O&amp;M ($/kW/yr)  [GenCost B.9]</t>
  </si>
  <si>
    <t>Variable O&amp;M ($/MWh)  [GenCost B.9]</t>
  </si>
  <si>
    <t>E2 — Time-varying cost trajectories (escalate at Coal_Esc each year)</t>
  </si>
  <si>
    <t>Coal commodity price ($/GJ) — escalates at Coal_Esc each year. Year 1: $8.81/GJ (back-calculated from Coal_SRMC=$80).</t>
  </si>
  <si>
    <t>Fuel cost ($/MWh) = heat_rate × coal_price. Time-varying as price escalates.</t>
  </si>
  <si>
    <t>★  Derived SRMC ($/MWh) = fuel cost + variable O&amp;M. Feeds Model R13 — replaces static Coal_SRMC assumption.</t>
  </si>
  <si>
    <t>Reconciliation: derived SRMC vs Coal_SRMC assumption at t=0 (should be &lt;$1 difference).</t>
  </si>
  <si>
    <t>Annual fixed cost ($m) = Coal_capacity × Coal_FOM / 1,000. Feeds Total System Cost — exists regardless of dispatch.</t>
  </si>
  <si>
    <t>E3 — Reliability degradation</t>
  </si>
  <si>
    <t>★  Coal_CFe (time-varying) = Coal_CFe_start × (1−Coal_Degrade)^t. Feeds Model R15 (generation) and Total System Cost.</t>
  </si>
  <si>
    <t>★  Coal_CFp (time-varying) = Coal_CFp_start × (1−Coal_Degrade)^t. Feeds Model R16 (firming availability).</t>
  </si>
  <si>
    <t>ESEM Baseline — No ESEM, No Government Intervention  [market dynamics identical to Model, ESEM rows = 0]</t>
  </si>
  <si>
    <t>Year index (t)</t>
  </si>
  <si>
    <t>Unit: years from base</t>
  </si>
  <si>
    <t>→</t>
  </si>
  <si>
    <t>Year label</t>
  </si>
  <si>
    <t>Year 1</t>
  </si>
  <si>
    <t>Year 2</t>
  </si>
  <si>
    <t>Year 3</t>
  </si>
  <si>
    <t>Year 4</t>
  </si>
  <si>
    <t>Year 5</t>
  </si>
  <si>
    <t>Year 6</t>
  </si>
  <si>
    <t>Year 7</t>
  </si>
  <si>
    <t>Year 8</t>
  </si>
  <si>
    <t>Year 9</t>
  </si>
  <si>
    <t>Year 10</t>
  </si>
  <si>
    <t>Year 11</t>
  </si>
  <si>
    <t>Year 12</t>
  </si>
  <si>
    <t>Year 13</t>
  </si>
  <si>
    <t>Year 14</t>
  </si>
  <si>
    <t>Year 15</t>
  </si>
  <si>
    <t>Year 16</t>
  </si>
  <si>
    <t>Year 17</t>
  </si>
  <si>
    <t>Year 18</t>
  </si>
  <si>
    <t>Year 19</t>
  </si>
  <si>
    <t>Year 20</t>
  </si>
  <si>
    <t>Year 21</t>
  </si>
  <si>
    <t>Year 22</t>
  </si>
  <si>
    <t>Year 23</t>
  </si>
  <si>
    <t>Year 24</t>
  </si>
  <si>
    <t>Year 25</t>
  </si>
  <si>
    <t>Year 26</t>
  </si>
  <si>
    <t>STEP 1 — DEMAND</t>
  </si>
  <si>
    <t>Demand shock (reserved for scenario use)</t>
  </si>
  <si>
    <t>±frac</t>
  </si>
  <si>
    <t>Supply shock (reserved for scenario use)</t>
  </si>
  <si>
    <t>Base energy demand — grows at Dem_Growth%/yr from Dem_Start (TWh)</t>
  </si>
  <si>
    <t>Effective energy demand — base × demand shock multiplier (TWh)</t>
  </si>
  <si>
    <t>R6 demand shock is 0 in base case. Scenarios can inject a step-change in demand.</t>
  </si>
  <si>
    <t>Base peak demand — grows at Peak_Growth%/yr from Peak_Start (GW)</t>
  </si>
  <si>
    <t>Effective peak demand — used for firming adequacy test in R30 (GW)</t>
  </si>
  <si>
    <t>Firming adequacy: total firm capacity ≥ peak demand. Deficit triggers ESEM firming contracts.</t>
  </si>
  <si>
    <t>STEP 2A — COAL</t>
  </si>
  <si>
    <t>Coal SRMC — short-run dispatch cost, escalated for carbon over time ($/MWh)</t>
  </si>
  <si>
    <t>As carbon cost rises, coal SRMC rises. When WS falls below coal SRMC, coal is uneconomic → retires.</t>
  </si>
  <si>
    <t>Coal capacity — retires when WS stays below coal SRMC (GW)</t>
  </si>
  <si>
    <t>Retirement rate = Coal_Accel × max(0, (SRMC−WS)/SRMC). Faster retirement when WS is deeply below SRMC.</t>
  </si>
  <si>
    <t>Coal generation — capacity × coal capacity factor × 8760 hrs (TWh)</t>
  </si>
  <si>
    <t>Coal peak availability — capacity × peak CF (used in firming balance R30) (GW)</t>
  </si>
  <si>
    <t>STEP 2B — LEGACY DISPATCHABLE FIRMING</t>
  </si>
  <si>
    <t>Legacy firm capacity — existing gas/hydro/diesel decaying at Firm_Decay%/yr (GW)</t>
  </si>
  <si>
    <t>Exponential decay = asset ageing + economic exit. No retirement trigger — legacy firm retires on schedule. ESEM firming contracts (R44) replace this as it disappears.</t>
  </si>
  <si>
    <t>Legacy firm peak availability — feeds the firming adequacy test in R30 (GW)</t>
  </si>
  <si>
    <t>Legacy firm generation — energy output at dispatch CF (TWh)</t>
  </si>
  <si>
    <t>STEP 2C — VRE + STORAGE</t>
  </si>
  <si>
    <t>VRE+Storage LRMC ($/MWh) — from Building Assets R78</t>
  </si>
  <si>
    <t>VRE+Storage online — existing + pipeline + ESEM stock + private stock (GW)</t>
  </si>
  <si>
    <t>VRE_Start = existing fleet. VRE_PrePipe = committed pipeline (phasing in over Lag yrs). R43 = ESEM-contracted stock (online after Lag). R40 = private merchant stock.</t>
  </si>
  <si>
    <t>VRE+Storage generation — online GW × CF × 8760 × (1−curtailment) (TWh)</t>
  </si>
  <si>
    <t>Curtailment (R28) reduces gross generation when VRE share exceeds Curtail_Thresh. At 60% VRE share: zero curtailment. At 80%: (0.80−0.60)×0.25 = 5% of gross generation lost. Supply shock (R7) scales net generation for scenario use.</t>
  </si>
  <si>
    <t>STEP 3 — PRICE FORMATION</t>
  </si>
  <si>
    <t>Energy balance — (coal + VRE + other) minus demand; surplus +ve, deficit -ve (TWh)</t>
  </si>
  <si>
    <t>The key supply-demand signal. Surplus pushes WS below LRMC. Deficit pushes WS above LRMC. Other_Gen = hydro/nuclear/geothermal (fixed exogenous input).</t>
  </si>
  <si>
    <t>Average wholesale spot price ($/MWh) — pivots around LRMC</t>
  </si>
  <si>
    <t>Pivot = LRMC. Surplus→WS&lt;LRMC (merit order). Deficit→WS&gt;LRMC (investment signal). No coal ceiling.</t>
  </si>
  <si>
    <t>VRE curtailment fraction — share of gross generation lost when VRE floods grid (hidden intermediate)</t>
  </si>
  <si>
    <t>Uses prior-year VRE share (R36) to avoid circular reference. Zero until VRE share crosses Curtail_Thresh (~60%). Grows linearly with penetration above threshold. Feeds R24 generation.</t>
  </si>
  <si>
    <t>Forward price — weighted average of LRMC and spot (investment signal, $/MWh)</t>
  </si>
  <si>
    <t>Private VRE entry (R37) triggered when fwd &gt; LRMC. Fwd_Alpha weights current LRMC vs current spot. Higher Fwd_Alpha = more forward-looking investors (weight on long-run cost over short-run price).</t>
  </si>
  <si>
    <t>Firming balance — total firm peak availability minus peak demand; +ve = surplus (GW)</t>
  </si>
  <si>
    <t>All sources in available GW (×CFp). R16=coal×CFp, R19=legacy×CFp already applied. ESEM stock ({p}44) and private firm ({p}51) multiplied by Firm_CFp here. Prior-year lag on both avoids circular reference and is physically realistic (new capacity cannot contribute to adequacy in its first year).</t>
  </si>
  <si>
    <t>Firming deficit fraction — max(0, deficit/peak); zero when firm capacity is adequate</t>
  </si>
  <si>
    <t>Input to scarcity formula R32. As firm capacity retires (R18/R16) faster than ESEM replaces it, deficit rises → scarcity rises → private firm investment signal strengthens.</t>
  </si>
  <si>
    <t>Scarcity price — pivots around Firm_SRMC (dispatch cost); rises toward Firm_LRMC as firming tightens ($/MWh)</t>
  </si>
  <si>
    <t>Pivot = Firm_SRMC (energy-only dispatch cost, ~$180). At zero deficit: scarcity=Firm_SRMC &lt; Firm_LRMC → "missing money" gap. Private firm entry (R50) triggered only when scarcity rises above Firm_LRMC (~8% deficit). ESEM cap payment (R57) bridges Firm_SRMC→Firm_LRMC to attract investment before the grid is that tight.</t>
  </si>
  <si>
    <t>STEP 4 — MARKET ENTRY</t>
  </si>
  <si>
    <t>VRE target share of demand — linear ramp from VRE_Share0 to VRE_ShareT over 25 yrs</t>
  </si>
  <si>
    <t>Policy target: society wants VRE to supply VRE_ShareT% of energy by yr 25. ESEM fills the gap between target and what private investors will build.</t>
  </si>
  <si>
    <t>VRE target capacity implied by share × demand ÷ (CF × 8760) (GW)</t>
  </si>
  <si>
    <t>Converts target TWh share into required GW of installed capacity at the blended VRE capacity factor.</t>
  </si>
  <si>
    <t>Current VRE share of demand — actual VRE TWh ÷ demand TWh</t>
  </si>
  <si>
    <t>Used in checks sheet. If this exceeds VRE target (R34) ESEM contracts nothing — private market leading.</t>
  </si>
  <si>
    <t>Private VRE build — linear supply curve: GW/yr per $/MWh above LRMC (GW/yr)</t>
  </si>
  <si>
    <t>GW/yr</t>
  </si>
  <si>
    <t>VRE_Sprd = spread required to attract investment above LRMC. When fwd = LRMC: zero private build. When fwd &gt; LRMC: build accelerates linearly. No ESEM needed if private market fills the gap first.</t>
  </si>
  <si>
    <t>ESEM VRE contracted — covers RE_Cov fraction of shortfall to target, per year (GW/yr)</t>
  </si>
  <si>
    <t>Contracts signed now; plants online after Lag years. Yr1: prior VRE = VRE_Start+PrePipe. Yr2+: uses prior-col R23 to avoid circular reference. RE_Cov &lt; 1 leaves room for private build. Contracts: ESEM holds for Recycle_Lag yrs, then sells.</t>
  </si>
  <si>
    <t>Firming shortfall — peak demand minus firm peak availability (GW)</t>
  </si>
  <si>
    <t>Mirrors firming balance (R30): all firm sources in available GW (×Firm_CFp). Prior-year ESEM ({p}44×CFp) and prior-year private ({p}51×CFp) avoid circular reference and correctly reflect capacity already reliably online. ESEM contracts only what legacy + existing firm stock cannot cover.</t>
  </si>
  <si>
    <t>Private VRE cumulative stock — builds when fwd &gt; LRMC, depreciates at VRE_Dep (GW)</t>
  </si>
  <si>
    <t>Merchant VRE: no ESEM de-risking, builds only when market signal strong. This competes with and reduces ESEM contracted volumes (via R23 → R38).</t>
  </si>
  <si>
    <t>ESEM firming contracted — covers Firm_Cov fraction of firming shortfall (GW/yr)</t>
  </si>
  <si>
    <t>ESEM signs cap contracts with firm generators → gives them revenue certainty to invest. Cap contracts then sold on to retailers (R57). Net margin feeds levy (R63).</t>
  </si>
  <si>
    <t>STEP 5 — CUMULATIVE STOCKS</t>
  </si>
  <si>
    <t>ESEM VRE cumulative stock — contracted GW that is now online and generating (GW)</t>
  </si>
  <si>
    <t>Stock accumulates as ESEM contracts (R38) come online after Lag years, depreciating at VRE_Dep. ESEM still holds the two-way CfD contracts for Recycle_Lag years; recycling revenue (R49) realised once contracts sold to retailers.</t>
  </si>
  <si>
    <t>ESEM firming cumulative stock — ESEM-contracted firm capacity online (GW)</t>
  </si>
  <si>
    <t>Accumulates as ESEM firm contracts (R41) come online. No depreciation — firm assets long-lived. This stock underpins the cap mechanism (R46 mirrors R44 → feeds R56/R57).</t>
  </si>
  <si>
    <t>STEP 6 — ESEM COST RECOVERY</t>
  </si>
  <si>
    <t>VRE GW recycled — contracts sold to retailers (GW contracted Recycle_Lag yrs ago)</t>
  </si>
  <si>
    <t>ESEM holds VRE contracts for Recycle_Lag yrs (admin only). Then sells to retailers — OFFSET looks back Recycle_Lag cols to find the matching contracting year. Zero until yr = Recycle_Lag.</t>
  </si>
  <si>
    <t>Vintage LRMC — strike price locked when VRE contracts were first signed ($/MWh)</t>
  </si>
  <si>
    <t>Hidden intermediate. OFFSET retrieves LRMC from Recycle_Lag yrs ago — this is the fixed strike in the VRE contract.</t>
  </si>
  <si>
    <t>Recycling revenue — (fwd−vintage_LRMC) × recycled GW × energy × remaining yrs ($m)</t>
  </si>
  <si>
    <t>$m</t>
  </si>
  <si>
    <t>Positive when fwd &gt; vintage_LRMC (market developed — ESEM sold low, buys high). Negative when fwd &lt; vintage_LRMC (early years, ESEM pays the difference). Retailers receive the contract and take on two-way obligation for remaining yrs.</t>
  </si>
  <si>
    <t>Private firm build — enters when scarcity &gt; Firm_LRMC (no ESEM support needed) (GW/yr)</t>
  </si>
  <si>
    <t>Analogous to private VRE (R37) but for firm capacity. Firm_Sprd = $/MWh above Firm_LRMC needed to attract investment (risk premium). At Firm_SRMC anchor, scarcity must rise ~8% deficit before private firm enters. ESEM caps attract firm investment BEFORE this point via capacity payment.</t>
  </si>
  <si>
    <t>Private firm cumulative stock — merchant firm capacity built without ESEM support (GW)</t>
  </si>
  <si>
    <t>Accumulates as private firm builds (R50). Reduces firming shortfall (R39) → reduces ESEM contracting. Also feeds firming balance (R30) with 1-year lag (prior col) to avoid circular reference. Depreciates at Firm_Decay. In baseline (no ESEM): deficit likely larger → higher scarcity → more private build.</t>
  </si>
  <si>
    <t>— FIRMING CfD —</t>
  </si>
  <si>
    <t>Firming CfD — (scarcity−Firm_LRMC)×firm GW×Firm_CFe×8760 ($m, −ve = ESEM cost)</t>
  </si>
  <si>
    <t>CFe (energy dispatch factor ~0.22) not CFp (availability ~0.90): CfD settles on actual MWh dispatched, not availability hours. Negative when scarcity&lt;Firm_LRMC: ESEM pays firm generators the gap (missing money subsidy). Positive when scarcity&gt;Firm_LRMC: generators pay ESEM (cost recovery in tight years).</t>
  </si>
  <si>
    <t>[Removed — firming CfD replaces cap mechanism]</t>
  </si>
  <si>
    <t>— FISCAL SUMMARY —</t>
  </si>
  <si>
    <t>Admin cost — always negative (outflow) ($m/yr)</t>
  </si>
  <si>
    <t>Hidden intermediate. Negative by convention: admin is always a cost outflow.</t>
  </si>
  <si>
    <t>Net annual ESEM P&amp;L — sum of all signed flows; negative = cost to consumers ($m)</t>
  </si>
  <si>
    <t>Sign convention: all flows negative when cost, positive when revenue. R60 = −Admin (always −ve). R49 = recycling (−ve when fwd &lt; vintage LRMC, i.e. ESEM pays to recycle early). R53 = firming CfD (−ve when scarcity &lt; Firm_LRMC = missing money subsidy). Negative net = consumers pay levy. Positive net = levy is a rebate.</t>
  </si>
  <si>
    <t>Cumulative ESEM P&amp;L — running total; negative = cumulative cost to consumers ($bn)</t>
  </si>
  <si>
    <t>$bn</t>
  </si>
  <si>
    <t>Tracks total fiscal exposure. Increasingly negative as ESEM subsidises investment.</t>
  </si>
  <si>
    <t>ESEM levy — −P&amp;L ÷ demand; positive = consumers pay, negative = rebate ($/MWh)</t>
  </si>
  <si>
    <t>Levy = −(net P&amp;L) ÷ demand. Positive when P&amp;L negative (ESEM costs money → consumers pay). Broadly positive during holding period (admin only) and firming subsidy years. Can turn negative if recycling revenue flows exceed ongoing costs.</t>
  </si>
  <si>
    <t>STEP 7 — CONSUMER PRICES</t>
  </si>
  <si>
    <t>Consumer price — wholesale spot price + ESEM levy ($/MWh)</t>
  </si>
  <si>
    <t>The ultimate policy question: is the consumer better off with ESEM? Compare with Baseline (R65 = WS only, no levy). ESEM wins if lower LRMC due to lower WACC offsets the levy — i.e., de-risking saves more than administration costs.</t>
  </si>
  <si>
    <t>Merchant viability — wholesale price ÷ LRMC; &gt;1 = merchant investment viable</t>
  </si>
  <si>
    <t>Ratio &lt; 1 = private market cannot recover LRMC from merchant revenues alone → ESEM needed. Ratio &gt; 1 = private VRE entry profitable → private build (R37) accelerates → ESEM contracts less.</t>
  </si>
  <si>
    <t>ESEM Model — Time Series Calculations  [formulas only — do not edit]</t>
  </si>
  <si>
    <t xml:space="preserve"> DEMAND</t>
  </si>
  <si>
    <t xml:space="preserve">Base energy demand </t>
  </si>
  <si>
    <t>Effective energy demand</t>
  </si>
  <si>
    <t>Base peak demand</t>
  </si>
  <si>
    <t>Effective peak demand</t>
  </si>
  <si>
    <t>COAL</t>
  </si>
  <si>
    <t>Coal SRMC ($/MWh) — derived from BA Section E (fuel + VOM), escalating</t>
  </si>
  <si>
    <t>Coal capacity</t>
  </si>
  <si>
    <t>Coal generation (TWh) — uses time-varying CFe with reliability degradation</t>
  </si>
  <si>
    <t>Coal firming availability (GW) — uses time-varying CFp with reliability degradation</t>
  </si>
  <si>
    <t>LEGACY DISPATCHABLE FIRMING</t>
  </si>
  <si>
    <t>Legacy firm capacity</t>
  </si>
  <si>
    <t>Legacy firm peak availability</t>
  </si>
  <si>
    <t>Legacy firm generation</t>
  </si>
  <si>
    <t>VRE + STORAGE</t>
  </si>
  <si>
    <t>VRE+Storage LRMC (curtailment-adjusted)</t>
  </si>
  <si>
    <t>VRE+Storage online</t>
  </si>
  <si>
    <t>VRE+Storage generation (curtailment-adjusted)</t>
  </si>
  <si>
    <t>PRICE FORMATION</t>
  </si>
  <si>
    <t>Energy balance (TWh) — coal + VRE + total firm capacity (legacy + ESEM-contracted + private) × Firm_Gen_CF + other − demand</t>
  </si>
  <si>
    <t>Average wholesale spot price</t>
  </si>
  <si>
    <t>VRE curtailment fraction</t>
  </si>
  <si>
    <t>Forward price (logistic-weighted LRMC and spot)</t>
  </si>
  <si>
    <t>Firming balance</t>
  </si>
  <si>
    <t>Firming deficit fraction</t>
  </si>
  <si>
    <t>Scarcity price</t>
  </si>
  <si>
    <t>MARKET ENTRY</t>
  </si>
  <si>
    <t xml:space="preserve">VRE target share of demand (linear ramp to y26) </t>
  </si>
  <si>
    <t>VRE target capacity (curtailment-adjusted)</t>
  </si>
  <si>
    <t>Current VRE share of demand</t>
  </si>
  <si>
    <t>Private VRE build — linear supply curve</t>
  </si>
  <si>
    <t>ESEM VRE contracted</t>
  </si>
  <si>
    <t>Firming shortfall</t>
  </si>
  <si>
    <t>Private VRE cumulative stock</t>
  </si>
  <si>
    <t>ESEM firming contracted</t>
  </si>
  <si>
    <t>CUMULATIVE STOCKS</t>
  </si>
  <si>
    <t>ESEM VRE cumulative stock</t>
  </si>
  <si>
    <t>ESEM firming cumulative stock</t>
  </si>
  <si>
    <t>ESEM COST RECOVERY</t>
  </si>
  <si>
    <t>VRE settled stock  (held by ESEMA pending offtake sale)</t>
  </si>
  <si>
    <t>VRE strike accumulator ($/MWh·GW) — GW × LRMC × (1 + Markup_Base + Markup_Rate × GW_contracted)</t>
  </si>
  <si>
    <t>$/MWh·GW</t>
  </si>
  <si>
    <t>VRE blended strike ($/MWh) (weighted LRMC at contracting)</t>
  </si>
  <si>
    <t>Private firm build — enters when scarcity price &gt; time-varying Firm_LRMC + Firm_Sprd</t>
  </si>
  <si>
    <t>Private firm cumulative stock</t>
  </si>
  <si>
    <t>Firm settled stock (online, held by ESEMA pending offtake sale)</t>
  </si>
  <si>
    <t>Firm strike accumulator ($/MWh·GW) — GW × Firm_LRMC × (1 + Markup_Base)</t>
  </si>
  <si>
    <t>Firm blended strike (weighted Firm_LRMC at contracting)</t>
  </si>
  <si>
    <t>ESEM OFFTAKE &amp; BALANCING</t>
  </si>
  <si>
    <t>VRE GW divested (offtake agreements sold to retailers)</t>
  </si>
  <si>
    <t>VRE offtake revenue</t>
  </si>
  <si>
    <t>Firm GW divested (offtake agreements sold to retailers)</t>
  </si>
  <si>
    <t>Firm offtake revenue</t>
  </si>
  <si>
    <t>Admin cost</t>
  </si>
  <si>
    <t>Net annual ESEM P&amp;L — admin + VRE offtake + firm offtake</t>
  </si>
  <si>
    <t xml:space="preserve">Cumulative ESEM P&amp;L </t>
  </si>
  <si>
    <t>ESEM levy</t>
  </si>
  <si>
    <t>Consumer price — wholesale spot + ESEM levy</t>
  </si>
  <si>
    <t>VRE Merchant viability</t>
  </si>
  <si>
    <t>WS/LRMC</t>
  </si>
  <si>
    <t>PRIVATE COST ACCUMULATORS</t>
  </si>
  <si>
    <t>Private VRE cost accumulator ($/MWh·GW) — GW × LRMC at build year. Mirrors ESEM strike accumulator logic; decays at VRE_Dep rate.</t>
  </si>
  <si>
    <t>Private VRE blended LRMC ($/MWh) — portfolio-weighted avg LRMC at build year</t>
  </si>
  <si>
    <t>Private firm cost accumulator ($/MWh·GW) — GW × Firm_LRMC at build year</t>
  </si>
  <si>
    <t>Private firm blended LRMC ($/MWh) — portfolio-weighted avg Firm_LRMC at build year</t>
  </si>
  <si>
    <t>TOTAL SYSTEM COST</t>
  </si>
  <si>
    <t>Resource cost of supplying electricity — capital, fuel and O&amp;M. Excludes ESEM P&amp;L (transfer, not resource cost) and transmission (not modelled). All in $m/yr. Levelised = total / demand ($/MWh).</t>
  </si>
  <si>
    <t>Coal fixed O&amp;M ($m/yr)</t>
  </si>
  <si>
    <t>Coal fuel + variable cost ($m/yr)</t>
  </si>
  <si>
    <t>VRE+Storage — ESEM fleet annualised cost ($m/yr)</t>
  </si>
  <si>
    <t>VRE+Storage — private fleet annualised cost ($m/yr)</t>
  </si>
  <si>
    <t>Firming — ESEM fleet annualised cost ($m/yr)</t>
  </si>
  <si>
    <t>Firming — private fleet annualised cost ($m/yr)</t>
  </si>
  <si>
    <t>Gas baseline fuel cost ($m/yr)</t>
  </si>
  <si>
    <t>★  Total system cost ($m/yr)</t>
  </si>
  <si>
    <t>★  Levelised system cost ($/MWh)</t>
  </si>
  <si>
    <t>Cumulative system cost ($bn) — running sum</t>
  </si>
  <si>
    <t>ESEM Model v2 — Dashboard</t>
  </si>
  <si>
    <t>Key outputs auto-update when Assumptions change. Press F9 to recalculate.</t>
  </si>
  <si>
    <t>ACTIVE SCENARIO</t>
  </si>
  <si>
    <t>Scenario number</t>
  </si>
  <si>
    <t>(edit in Assumptions!C4)</t>
  </si>
  <si>
    <t>Metric</t>
  </si>
  <si>
    <t>Yr 5</t>
  </si>
  <si>
    <t>Yr 10</t>
  </si>
  <si>
    <t>Yr 15</t>
  </si>
  <si>
    <t>Yr 20</t>
  </si>
  <si>
    <t>ENERGY SCALE</t>
  </si>
  <si>
    <t>Demand (TWh)</t>
  </si>
  <si>
    <t xml:space="preserve">  ↳ Baseline</t>
  </si>
  <si>
    <t>Coal capacity (GW)</t>
  </si>
  <si>
    <t>VRE online (GW)</t>
  </si>
  <si>
    <t>PRICES</t>
  </si>
  <si>
    <t>Wholesale $/MWh</t>
  </si>
  <si>
    <t>Forward price $/MWh</t>
  </si>
  <si>
    <t>Scarcity $/MWh</t>
  </si>
  <si>
    <t>Consumer price $/MWh</t>
  </si>
  <si>
    <t>ESEM PROCUREMENT</t>
  </si>
  <si>
    <t>ESEM VRE contracted GW/yr</t>
  </si>
  <si>
    <t>ESEM firm contracted GW/yr</t>
  </si>
  <si>
    <t>ESEM VRE stock (GW)</t>
  </si>
  <si>
    <t>ESEM firm stock (GW)</t>
  </si>
  <si>
    <t>Private firm build GW/yr</t>
  </si>
  <si>
    <t>Private firm stock (GW)</t>
  </si>
  <si>
    <t>ESEM FISCAL  [−ve = cost, +ve = revenue]</t>
  </si>
  <si>
    <t>VRE recycled (GW/yr)</t>
  </si>
  <si>
    <t>VRE recycling P&amp;L ($m)</t>
  </si>
  <si>
    <t>Firming CfD P&amp;L ($m)</t>
  </si>
  <si>
    <t>Admin cost ($m)</t>
  </si>
  <si>
    <t>Net annual P&amp;L ($m)</t>
  </si>
  <si>
    <t>Cumulative P&amp;L ($bn)</t>
  </si>
  <si>
    <t>Levy ($/MWh)</t>
  </si>
  <si>
    <t>Merchant viability</t>
  </si>
  <si>
    <t>CHECKS — Balance &amp; Constraint Verification</t>
  </si>
  <si>
    <t>GREEN = pass (within tolerance). RED = fail. Investigate any fail before using outputs.</t>
  </si>
  <si>
    <t>Check</t>
  </si>
  <si>
    <t>Tolerance</t>
  </si>
  <si>
    <t>Yr 1</t>
  </si>
  <si>
    <t>Yr 2</t>
  </si>
  <si>
    <t>Yr 3</t>
  </si>
  <si>
    <t>Yr 4</t>
  </si>
  <si>
    <t>Yr 6</t>
  </si>
  <si>
    <t>Yr 7</t>
  </si>
  <si>
    <t>Yr 8</t>
  </si>
  <si>
    <t>Yr 9</t>
  </si>
  <si>
    <t>Yr 11</t>
  </si>
  <si>
    <t>Yr 12</t>
  </si>
  <si>
    <t>Yr 13</t>
  </si>
  <si>
    <t>Yr 14</t>
  </si>
  <si>
    <t>Yr 16</t>
  </si>
  <si>
    <t>Yr 17</t>
  </si>
  <si>
    <t>Yr 18</t>
  </si>
  <si>
    <t>Yr 19</t>
  </si>
  <si>
    <t>Yr 21</t>
  </si>
  <si>
    <t>Yr 22</t>
  </si>
  <si>
    <t>Yr 23</t>
  </si>
  <si>
    <t>Yr 24</t>
  </si>
  <si>
    <t>Yr 25</t>
  </si>
  <si>
    <t>Yr 26</t>
  </si>
  <si>
    <t>Energy balance: supply minus demand (TWh) [should ≈ 0]</t>
  </si>
  <si>
    <t>VRE share of demand [should be 0–1]</t>
  </si>
  <si>
    <t>Battery weight sum (must = 1)</t>
  </si>
  <si>
    <t>Levy consistency: levy×demand minus net cost ($m) [should ≈ 0]</t>
  </si>
  <si>
    <t>LRMC must be positive ($/MWh) — negative signals BA error</t>
  </si>
  <si>
    <t>Year</t>
  </si>
  <si>
    <t>Coal GW</t>
  </si>
  <si>
    <t>Firm base GW</t>
  </si>
  <si>
    <t>Exist VRE GW</t>
  </si>
  <si>
    <t>Priv VRE cum</t>
  </si>
  <si>
    <t>ESEM VRE cum</t>
  </si>
  <si>
    <t>ESEM Firm cum</t>
  </si>
  <si>
    <t>Priv Firm cum</t>
  </si>
  <si>
    <t>WS_E $/MWh</t>
  </si>
  <si>
    <t>SC_E $/MWh</t>
  </si>
  <si>
    <t>Fwd $/MWh</t>
  </si>
  <si>
    <t>LRMC $/MWh</t>
  </si>
  <si>
    <t>Consumer_E</t>
  </si>
  <si>
    <t>Levy $/MWh</t>
  </si>
  <si>
    <t>NetCost $m</t>
  </si>
  <si>
    <t>CumCost $bn</t>
  </si>
  <si>
    <t>WS/LRMC E</t>
  </si>
  <si>
    <t>Priv VRE ann</t>
  </si>
  <si>
    <t>ESEM VRE ann</t>
  </si>
  <si>
    <t>VRE Online GW</t>
  </si>
  <si>
    <t>Energy Bal TWh</t>
  </si>
  <si>
    <t>Settled VRE GW</t>
  </si>
  <si>
    <t>Settled Firm GW</t>
  </si>
  <si>
    <t>Firming Bal GW</t>
  </si>
  <si>
    <t>WS Baseline</t>
  </si>
  <si>
    <t>Bline Coal GW</t>
  </si>
  <si>
    <t>Bline Firm GW</t>
  </si>
  <si>
    <t>Bline PrvVRE GW</t>
  </si>
  <si>
    <t>Bline VRE Online</t>
  </si>
  <si>
    <t>Bline PrvFirm GW</t>
  </si>
  <si>
    <t>Bline Cons Price</t>
  </si>
  <si>
    <t>VRE Divest GW</t>
  </si>
  <si>
    <t>Firm Divest GW</t>
  </si>
  <si>
    <t xml:space="preserve">Recycle PnL </t>
  </si>
  <si>
    <t>ESEM GENERIC GRID MODEL — ROW-BY-ROW GUIDE</t>
  </si>
  <si>
    <t>26-year illustrative NEM transition model. NOT a forecasting tool.  MY0=4: col D = Year 1 (t=0) through col AC = Year 26 (t=25).  Period offset t is stored in row 2.  Demand = 170 TWh, growth 2.5%/yr.  All edits via Python/openpyxl — see HANDOFF.md for script pattern.</t>
  </si>
  <si>
    <t>SECTION 1 — DEMAND &amp; SHOCKS  (R4–R9)</t>
  </si>
  <si>
    <t>Row</t>
  </si>
  <si>
    <t>Name</t>
  </si>
  <si>
    <t>Units</t>
  </si>
  <si>
    <t>Formula / Notes</t>
  </si>
  <si>
    <t>R4</t>
  </si>
  <si>
    <t>Demand shock</t>
  </si>
  <si>
    <t>rate</t>
  </si>
  <si>
    <t>Scenario-driven fractional shock to demand. Reads from Scenarios sheet based on Dashboard dropdown (Scenario A/B/C). Applied multiplicatively to base demand in R7.</t>
  </si>
  <si>
    <t>R5</t>
  </si>
  <si>
    <t>Supply shock</t>
  </si>
  <si>
    <t>Fractional shock to generation output (positive = more supply noise). Applied to coal generation (R15) and VRE generation (R24). Same scenario structure as R4.</t>
  </si>
  <si>
    <t>R6</t>
  </si>
  <si>
    <t>Base demand</t>
  </si>
  <si>
    <t>Pure trend demand before shocks. Grows at Dem_Growth=2.5%/yr from Dem_Start=170 TWh. 170 TWh represents NEM operational demand net of rooftop solar self-consumption.</t>
  </si>
  <si>
    <t>R7</t>
  </si>
  <si>
    <t>Effective demand</t>
  </si>
  <si>
    <t>Demand after applying demand shock from R4. This is the target energy requirement used in R26 (energy balance), R39 (ESEM VRE target) and R61 (levy calculation).</t>
  </si>
  <si>
    <t>R8</t>
  </si>
  <si>
    <t>Peak demand (base)</t>
  </si>
  <si>
    <t>Instantaneous peak demand trend. Peak_Start=36 GW growing at Peak_Growth=2%/yr. Used as the basis for the firm adequacy requirement.</t>
  </si>
  <si>
    <t>R9</t>
  </si>
  <si>
    <t>Peak firm requirement</t>
  </si>
  <si>
    <t>Effective peak demand after shock — the capacity adequacy target. Used in R31 (firming balance) and R41 (ESEM firm procurement gap). = R8*(1+R4).</t>
  </si>
  <si>
    <t>SECTION 2 — COAL  (R11–R16)   Coal_Start=20 GW | Coal_CFe=0.45 | Coal_CFp=0.75 | Coal_SRMC=$80 | Coal_Esc=4%/yr | Coal_Accel=0.10</t>
  </si>
  <si>
    <t>R11</t>
  </si>
  <si>
    <t>Coal SRMC</t>
  </si>
  <si>
    <t>Marginal running cost of coal fleet, escalating 4%/yr (fuel + O&amp;M + carbon). Used in R13 economic attrition: coal exits faster when WS exceeds this threshold.</t>
  </si>
  <si>
    <t>R12</t>
  </si>
  <si>
    <t>Scheduled closures</t>
  </si>
  <si>
    <t>Fraction of coal fleet retiring this year per announced closure schedule. Reads from Scenarios sheet (same mechanism as demand/supply shocks). Applied multiplicatively in R14.</t>
  </si>
  <si>
    <t>R13</t>
  </si>
  <si>
    <t>Economic attrition rate</t>
  </si>
  <si>
    <t>Additional coal exits driven by high wholesale price. = Coal_Accel * MAX(0, (WS_prev - Coal_SRMC_prev) / WS_prev). Coal_Accel=0.10 (reduced from 0.30). Uses PRIOR-year WS (F27) to avoid circular reference — Year 1 attrition = 0. At WS=$180, SRMC=$80: attrition = 0.10*0.56 = 5.6%/yr.</t>
  </si>
  <si>
    <t>R14</t>
  </si>
  <si>
    <t>Surviving coal fleet. Starts at Coal_Start=20 GW and declines each year through both scheduled closures (R12) and economic attrition (R13). MAX(0) prevents negative. Coal is the key price-setting unit in deficit years.</t>
  </si>
  <si>
    <t>R15</t>
  </si>
  <si>
    <t>Coal generation</t>
  </si>
  <si>
    <t>Energy produced by coal fleet. Capacity factor Coal_CFe=0.45 applied to R14. Supply shock (R5) also applied. Included in R26 energy balance.</t>
  </si>
  <si>
    <t>R16</t>
  </si>
  <si>
    <t>Coal firm capacity</t>
  </si>
  <si>
    <t>Peak-period availability of coal fleet. Coal_CFp=0.75 applied to R14. Used in R31 firming balance as reliable capacity contribution.</t>
  </si>
  <si>
    <t>SECTION 3 — DISPATCHABLE FIRMING  (R17–R20)   Firm_Start=22 GW | Firm_SRMC=$180 | Firm_LRMC=$350 | Firm_CFe=0.22 | Firm_CFp=0.90</t>
  </si>
  <si>
    <t>R17</t>
  </si>
  <si>
    <t>Firm SRMC</t>
  </si>
  <si>
    <t>Gas/firming dispatch cost = Firm_SRMC constant = $180/MWh. This is the WS ceiling — R27 is MIN(Firm_SRMC, ...) so WS can never exceed $180. Also used as the CfD strike reference for new firm builds (R51).</t>
  </si>
  <si>
    <t>R18</t>
  </si>
  <si>
    <t>Existing gas/hydro/storage fleet. Starts at Firm_Start=22 GW. Firm_Decay=0 so no assumed retirements (conservative — full fleet available throughout). Does NOT include ESEM or private new builds — those are tracked in R46/R68.</t>
  </si>
  <si>
    <t>R19</t>
  </si>
  <si>
    <t>Legacy firm peak</t>
  </si>
  <si>
    <t>Peak availability of legacy fleet = R18 * Firm_CFp. Used in R31 firming balance.</t>
  </si>
  <si>
    <t>R20</t>
  </si>
  <si>
    <t>Legacy firm energy</t>
  </si>
  <si>
    <t>Maximum energy if fully dispatched = R18 * Firm_CFe * 8.76. Firm_CFe=0.22 (peaker). NOT included in R26 energy balance by design: gas is the last-resort price-setting marginal unit, not a merit-order supply source. Its cost is captured in WS price.</t>
  </si>
  <si>
    <t>SECTION 4 — VRE  (R22–R24)   VRE_Start=27 GW | VRE_CFe=0.32 | VRE_Dep=4%/yr | VRE_LRMC=$85 | Trend1=-2.5%/yr | BP=Year 10 | Trend2=+1%/yr</t>
  </si>
  <si>
    <t>R22</t>
  </si>
  <si>
    <t>VRE LRMC</t>
  </si>
  <si>
    <t>Long-run marginal cost of new VRE (build + finance cost). Piecewise trend: falls at 2.5%/yr from $85 to ~$64 by Year 10 (technology learning), then rises at 1%/yr after the breakpoint (grid integration costs). Key investment trigger: private VRE enters when forward price &gt; R22 (see R35).</t>
  </si>
  <si>
    <t>R23</t>
  </si>
  <si>
    <t>VRE online</t>
  </si>
  <si>
    <t>Total commissioned VRE fleet. Three components: (1) VRE_Start*(1-VRE_Dep)^t — existing 27 GW fleet depreciating at 4%/yr, falls to ~22 GW by Year 6 as old panels/turbines retire; (2) lag3(R43) — private VRE commissioned 3 years ago (construction lag); (3) lag3(R45) — ESEM VRE commissioned 3 years ago. Flat in Years 1-3 (bar depreciation) — no new builds commissioned yet.</t>
  </si>
  <si>
    <t>R24</t>
  </si>
  <si>
    <t>VRE generation</t>
  </si>
  <si>
    <t>Energy produced by online VRE fleet. VRE_CFe=0.32. Supply shock (R5) applied. Included in R26 energy balance alongside coal (R15) and Other_Gen.</t>
  </si>
  <si>
    <t>SECTION 5 — ENERGY BALANCE &amp; PRICES  (R26–R34)</t>
  </si>
  <si>
    <t>R26</t>
  </si>
  <si>
    <t>Energy balance</t>
  </si>
  <si>
    <t>Generation surplus (+) or deficit (-) relative to demand. = R15 (coal) + R24 (VRE) + Other_Gen (15 TWh/yr hydro+imports) - R7 (demand). Gas/firming generation deliberately EXCLUDED — gas is the marginal price-setter, not a merit-order source. Negative R26 means 'gas is running' not 'lights out'. With Other_Gen=15, Year 1 balance is approximately zero. Uses PRIOR-YEAR value (F26) in WS formula to avoid circular reference.</t>
  </si>
  <si>
    <t>R27</t>
  </si>
  <si>
    <t>Wholesale price</t>
  </si>
  <si>
    <t>Market clearing price. Year 1 = VRE_LRMC (no prior balance). Year 2+: MIN(Firm_SRMC, VRE_LRMC * EXP(elasticity * |F26/R7|)). Surplus (F26&gt;0): price decays below LRMC with elasticity Surp_Elas=3. Deficit (F26&lt;0): price rises above LRMC with elasticity Def_Elas=2, capped at Firm_SRMC=$180 (gas price ceiling). WS &lt;= Firm_SRMC always, which ensures firm CfD costs (R57) are non-negative.</t>
  </si>
  <si>
    <t>R28</t>
  </si>
  <si>
    <t>WS (for fwd calc)</t>
  </si>
  <si>
    <t>Current WS echoed for use in R30 forward price averaging window.</t>
  </si>
  <si>
    <t>R29</t>
  </si>
  <si>
    <t>VRE_CFe</t>
  </si>
  <si>
    <t>Capacity factor constant passed through for formula convenience in R24, R37, R39.</t>
  </si>
  <si>
    <t>R30</t>
  </si>
  <si>
    <t>Forward price</t>
  </si>
  <si>
    <t>Expected price that drives private and ESEM investment decisions. Weighted blend: Fwd_Alpha=0.35 * avg_LRMC_forward (next Fwd_Window=10yr) + (1-Fwd_Alpha-Fwd_SC_Wt) * avg_WS_spot * noise + Fwd_SC_Wt=0.15 * avg_SC. NOTE: Fwd_SC_Wt&gt;0 couples the VRE and firming markets — can cause oscillation. Consider setting Fwd_SC_Wt=0, Fwd_Alpha=0.50 for cleaner dynamics. Baseline reads =Model!col30 — same draw prevents stochastic divergence.</t>
  </si>
  <si>
    <t>R31</t>
  </si>
  <si>
    <t>Firm capacity surplus (+) or deficit (-) relative to peak demand. = R16 (coal firm) + R19 (legacy firm) + lag3(R46 ESEM firm) + lag3(R68 priv firm) + R23*VRE_ELCC (VRE effective load carrying) + Other_Firm (3 GW) - R9 (peak). Negative in Years 1-6 (adequacy gap) until ESEM firm builds commission. Positive after ~Year 7 as ESEM firm stock commissions (3yr build lag from Year 3 start).</t>
  </si>
  <si>
    <t>R32</t>
  </si>
  <si>
    <t>Firming tightness</t>
  </si>
  <si>
    <t>R33</t>
  </si>
  <si>
    <t>Firm capacity price = Firm_SRMC * EXP(Firm_Tight * R32). Exponential premium when firming is tight. Firm_Tight=3.5. At 10% gap (R32=0.10): SC = $180 * exp(0.35) = $251. At 20% gap: SC = $180 * exp(0.70) = $360. Drives private firming entry (R36) and ESEM firm procurement (R41).</t>
  </si>
  <si>
    <t>R34</t>
  </si>
  <si>
    <t>Firm LRMC</t>
  </si>
  <si>
    <t>Build cost for new dispatchable firming = Firm_LRMC constant = $350/MWh. Private firming enters when SC &gt; Firm_LRMC (R36). At default SC levels this threshold is rarely met, so private firming is near-zero — ESEM fills the gap.</t>
  </si>
  <si>
    <t>SECTION 6 — MARKET ENTRY  (R35–R41)</t>
  </si>
  <si>
    <t>R35</t>
  </si>
  <si>
    <t>Private VRE procurement</t>
  </si>
  <si>
    <t>New VRE contracted by private investors this year. Linear supply curve: entry begins when forward price (R30) exceeds VRE LRMC (R22). VRE_Sprd=8 $/MWh-per-GW — each GW of entry compresses the spread by $8. Goes into R43 cumulative stock; commissions in R23 after 3-year lag.</t>
  </si>
  <si>
    <t>R36</t>
  </si>
  <si>
    <t>Private firm procurement</t>
  </si>
  <si>
    <t>New firming contracted by private investors. Enters when scarcity price (R33) exceeds Firm_LRMC=$350. Firm_Sprd=60 — very steep, so private firming rarely enters at current parameters. Goes into R68; commissions in R31 after 3-year lag.</t>
  </si>
  <si>
    <t>R37</t>
  </si>
  <si>
    <t>Private VRE pipeline</t>
  </si>
  <si>
    <t>Private VRE ordered in the last 2 years still under construction (not yet in R23). = MAX(0, prev_R43 - lag3_R43) * VRE_CFe * 8.76. Subtracted from ESEM's shortfall in R39 so ESEM doesn't build on top of private builds already committed.</t>
  </si>
  <si>
    <t>R38</t>
  </si>
  <si>
    <t>ESEM VRE target share</t>
  </si>
  <si>
    <t>Linear ramp of VRE share target from VRE_Share0=36% (Year 1) to VRE_ShareT=95% (Year 26) of effective demand. = VRE_Share0 + (VRE_ShareT - VRE_Share0)/25 * t. ESEM procures to close the gap between actual VRE gen and this target.</t>
  </si>
  <si>
    <t>R39</t>
  </si>
  <si>
    <t>ESEM VRE procurement</t>
  </si>
  <si>
    <t>ESEM CfD contracts for new VRE this year (when active, i.e. ESEM_On=1 and t&gt;=ESEM_Start). Shortfall = target_TWh (R38*R7) - actual_TWh (R24) - private_pipeline (R37)   - ESEM_own_pipeline (MAX(0,prev_R45-lag3_R45)*CFe*8760). Divides by (VRE_CFe*8760) to convert TWh shortfall to GW/yr procurement. Multiplied by RE_Cov=75% (partial coverage). MAX(0) ensures no negative procurement. Goes into R45 cumulative stock.</t>
  </si>
  <si>
    <t>R40</t>
  </si>
  <si>
    <t>Firming adequacy gap</t>
  </si>
  <si>
    <t>Raw adequacy gap before pipeline adjustments. = MAX(0, R9 - total_firm_available). 'Total firm available' = R16 + R19 + lag3(R46) + lag3(R68) + R23*VRE_ELCC + Other_Firm.</t>
  </si>
  <si>
    <t>R41</t>
  </si>
  <si>
    <t>ESEM firm procurement</t>
  </si>
  <si>
    <t>ESEM CfD contracts for new firm capacity this year (when active). Gap = R40 minus private firm pipeline (MAX(0,prev_R68-lag3_R68))   minus ESEM own pipeline (MAX(0,prev_R46-lag3_R46)). Both pipeline deductions prevent over-procurement. Multiplied by Firm_Cov=90%. Goes into R46 cumulative stock.</t>
  </si>
  <si>
    <t>SECTION 7 — CUMULATIVE STOCKS  (R43–R46)   VRE_Dep=4%/yr  |  Firm_Dep_New=0%/yr</t>
  </si>
  <si>
    <t>R43</t>
  </si>
  <si>
    <t>Private VRE cum. stock</t>
  </si>
  <si>
    <t>Running total of private VRE builds with 4%/yr depreciation. Year 1 = R35 (first cohort). Subsequent years: prev*(1-VRE_Dep) + R35. Lag-3 of this (lag3_R43) appears in R23 as commissioned online VRE. Also used in R37 pipeline calculation.</t>
  </si>
  <si>
    <t>R44</t>
  </si>
  <si>
    <t>Unused (Baseline ESEM)</t>
  </si>
  <si>
    <t>Zero in Model sheet. Used in Baseline sheet as the ESEM VRE placeholder (always zero since Baseline has no ESEM). Included in Baseline R23 for symmetry.</t>
  </si>
  <si>
    <t>R45</t>
  </si>
  <si>
    <t>ESEM VRE cum. stock</t>
  </si>
  <si>
    <t>Running total of ESEM VRE contracts procured, with 4%/yr depreciation. = prev*(1-VRE_Dep) + R39. Lag-3 in R23 (commissioned ESEM VRE online). Lag-3 also used in R39's own-pipeline check to prevent over-procurement.</t>
  </si>
  <si>
    <t>R46</t>
  </si>
  <si>
    <t>ESEM firm cum. stock</t>
  </si>
  <si>
    <t>Running total of ESEM firm contracts procured. = prev*(1-Firm_Dep_New) + R41. Currently Firm_Dep_New=0 (no depreciation — stock accumulates indefinitely). Lag-3 in R31 (commissioned ESEM firm in firming balance). Lag-3 also in R41 own-pipeline check.</t>
  </si>
  <si>
    <t>SECTION 8 — SETTLED STOCK &amp; DIVESTMENT  (R48–R55)   6-year lag to settlement (3yr build + 3yr private period)  |  Divest_Rate=10%/yr</t>
  </si>
  <si>
    <t>R48</t>
  </si>
  <si>
    <t>ESEM VRE settled stock</t>
  </si>
  <si>
    <t>Running balance of ESEM VRE CfDs in active settlement. A cohort enters when it clears the 6-year total lag (3yr construction + 3yr private period). = MAX(0, prev*(1-Divest_Rate) + cohort_from_6yr_ago). Divest_Rate=10%/yr — portfolio transferred to private market at 10%/yr. Zero until Year 7. Peaks at ~10-20 GW, then gradually declines as divestment outpaces new cohorts entering settlement.</t>
  </si>
  <si>
    <t>R49</t>
  </si>
  <si>
    <t>ESEM firm settled stock</t>
  </si>
  <si>
    <t>Same structure as R48 for firm capacity. = MAX(0, prev*(1-Divest_Rate) + firm_cohort_from_6yr_ago).</t>
  </si>
  <si>
    <t>R50</t>
  </si>
  <si>
    <t>VRE CfD strike price</t>
  </si>
  <si>
    <t>Fixed VRE strike = R22 (VRE_LRMC at time of contracting). NOT floating — locked at the cost of new VRE when ESEM signs the contract. As WS falls below this in later years, ESEM pays generators the difference (R56 positive).</t>
  </si>
  <si>
    <t>R51</t>
  </si>
  <si>
    <t>Firm CfD strike price</t>
  </si>
  <si>
    <t>Fixed firm strike = R17 (Firm_SRMC = $180). Locked at gas SRMC when ESEM contracts. WS &lt;= Firm_SRMC always (from R27 MIN), so R57 (firm CfD cost) is always &gt;= 0.</t>
  </si>
  <si>
    <t>R52</t>
  </si>
  <si>
    <t>VRE divested stock</t>
  </si>
  <si>
    <t>GW of VRE settled stock transferred to private market this year = Divest_Rate * prev_R48 = 10% * R48. This stock generates recycling income in R58 (sold at current market prices).</t>
  </si>
  <si>
    <t>R53</t>
  </si>
  <si>
    <t>Firm divested stock</t>
  </si>
  <si>
    <t>GW of firm settled stock divested this year = Divest_Rate * prev_R49.</t>
  </si>
  <si>
    <t>R54–R55</t>
  </si>
  <si>
    <t>Intermediate</t>
  </si>
  <si>
    <t>Rolling reference values for tracking strike prices and settlement inputs. Used in R56-R58 calculations.</t>
  </si>
  <si>
    <t>Various</t>
  </si>
  <si>
    <t>SECTION 9 — COST RECOVERY  (R56–R62)   Two-way CfD settled vs WS  |  Firm settled vs WS (not SC)</t>
  </si>
  <si>
    <t>R56</t>
  </si>
  <si>
    <t>VRE CfD annual cost</t>
  </si>
  <si>
    <t>Two-way contract settlement: (R50 - R27) * R48 * VRE_CFe * 8760. Strike (R50) fixed at LRMC when contracted. WS (R27) falls below LRMC as VRE surplus builds in later years. Positive = ESEM pays generators (surplus period). Negative = generators pay ESEM back (deficit period, WS &gt; strike — rare).</t>
  </si>
  <si>
    <t>R57</t>
  </si>
  <si>
    <t>Firm CfD annual cost</t>
  </si>
  <si>
    <t>Firm settlement: (R17 - R27) * R49 * Firm_CFe * 8760. Settled against WS (NOT scarcity price SC) — ensures always &gt;= 0 since WS &lt;= Firm_SRMC. Uses Firm_CFe=0.22 (energy generation factor, NOT Firm_CFp=0.90 peak availability). Key fix: using Firm_CFp would overstate costs by 0.90/0.22 = 4x.</t>
  </si>
  <si>
    <t>R58</t>
  </si>
  <si>
    <t>Recycling income</t>
  </si>
  <si>
    <t>Income from divesting contracts to private market at current prices. Two legs: VRE leg: (R22-R30)*R52*VRE_CFe*8760 (divested VRE at forward price vs LRMC). Firm leg: (R17-R27)*R53*Firm_CFe*8760 (divested firm at WS vs SRMC). Negative R58 = ESEM earns when divesting at a premium; positive = cost when divesting at discount.</t>
  </si>
  <si>
    <t>R59</t>
  </si>
  <si>
    <t>Net ESEM annual cost</t>
  </si>
  <si>
    <t>Total annual programme net cost to consumers = R56 + R57 + R58 + Admin_Cost. Admin_Cost=$37m/yr when ESEM is active. Zero when ESEM_On=0 or before ESEM_Start. Positive = net outflow from consumers to generators. Typically: admin-only $37m in Years 3-7, then rising $100m-$2bn as settled stock grows.</t>
  </si>
  <si>
    <t>R60</t>
  </si>
  <si>
    <t>Cumulative ESEM cost</t>
  </si>
  <si>
    <t>Running total cost to consumers across all years. = prev + R59/1000. Should reach $10-25bn over 26 years (after all bug fixes). Represents the total transfer from consumers to generator contract-holders via ESEM CfDs — the price of the transition guarantee.</t>
  </si>
  <si>
    <t>R61</t>
  </si>
  <si>
    <t>Annual net cost spread over total energy demand = R59/R7. The per-MWh surcharge on consumer bills to fund ESEM.</t>
  </si>
  <si>
    <t>R62</t>
  </si>
  <si>
    <t>Consumer price</t>
  </si>
  <si>
    <t>Total price faced by consumers = R27 (wholesale) + R61 (ESEM levy). In early years: WS high (deficit), levy small → consumer price near WS. In later years: WS falls (VRE surplus), levy rises (CfD payments) → prices stay elevated. The levy is the mechanism by which ESEM cost recovery shows up in consumer bills.</t>
  </si>
  <si>
    <t>SECTION 10 — DERIVED METRICS  (R63–R68)</t>
  </si>
  <si>
    <t>R63</t>
  </si>
  <si>
    <t>Private CfD est. value</t>
  </si>
  <si>
    <t>Rough estimate: (R56+R57)*5. Illustrative measure of the private market value of ESEM contracts being divested. Factor of 5 = stylised market multiple.</t>
  </si>
  <si>
    <t>R64</t>
  </si>
  <si>
    <t>WS / LRMC ratio</t>
  </si>
  <si>
    <t>R65</t>
  </si>
  <si>
    <t>ESEM market share</t>
  </si>
  <si>
    <t>ESEM's share of total capacity = (R45+R46) / (coal+legacy_firm+VRE_Start+R43+R45+R46). Tracks how dominant ESEM becomes in the total generation and firming portfolio.</t>
  </si>
  <si>
    <t>R66</t>
  </si>
  <si>
    <t>Coal gen reference</t>
  </si>
  <si>
    <t>R67</t>
  </si>
  <si>
    <t>WS reference</t>
  </si>
  <si>
    <t>R68</t>
  </si>
  <si>
    <t>Private firm cum. stock</t>
  </si>
  <si>
    <t>Running total of private firming builds = prev*(1-Firm_Dep_New) + R36. Near-zero at current parameters (Firm_LRMC=$350 rarely triggered by scarcity price). Lag-3 in R31 firming balance and in R41 pipeline check.</t>
  </si>
  <si>
    <t>KEY PARAMETERS: Dem_Start=170 TWh | Coal_Start=20 GW | Coal_Accel=0.10 | Firm_SRMC=$180 | VRE_Start=27 GW | VRE_Dep=4%/yr | Other_Gen=15 TWh | Lag=3yr | Private_Lag=3yr | Divest_Rate=10%/yr | RE_Cov=75% | Firm_Cov=90%</t>
  </si>
  <si>
    <t>BASELINE SHEET differences: R4=Model!R4 (same demand draw), R5=Model!R5 (same supply draw), R12=Model!R12 (same closure schedule), R22=Model!R22 (same LRMC), R30=Model!R30 (same forward — prevents stochastic divergence). All ESEM rows (R39,R41,R45,R46,R48-R62) = 0. Coal exits against Baseline WS (higher than ESEM — no VRE surplus suppression). R23 uses R44 (not R45) for ESEM VRE column (always 0).</t>
  </si>
  <si>
    <t>SENSITIVITY ANALYSIS -- VRE+Storage LRMC</t>
  </si>
  <si>
    <t>Pre-computed by phase3_optimizer.py. Re-run script to refresh after parameter changes. Base case: Alpha_Solar=0.67, VRE_Ratio=3, Direct=0.80, Drought=0.08, Batt_WACC=8%, Sol_WACC=7%, Wind_WACC=8%.</t>
  </si>
  <si>
    <t>Hrs_Effective</t>
  </si>
  <si>
    <t>Delivered_Energy_Factor</t>
  </si>
  <si>
    <t>LRMC_$/MWh</t>
  </si>
  <si>
    <t>Solar_share=0.0</t>
  </si>
  <si>
    <t>Yr1</t>
  </si>
  <si>
    <t>Yr5</t>
  </si>
  <si>
    <t>Yr10</t>
  </si>
  <si>
    <t>Yr20</t>
  </si>
  <si>
    <t>Yr25</t>
  </si>
  <si>
    <t>Solar_share=0.1</t>
  </si>
  <si>
    <t>Solar_share=0.2</t>
  </si>
  <si>
    <t>Solar_share=0.3</t>
  </si>
  <si>
    <t>Solar_share=0.4</t>
  </si>
  <si>
    <t>Solar_share=0.5</t>
  </si>
  <si>
    <t>Solar_share=0.6</t>
  </si>
  <si>
    <t>Solar_share=0.7</t>
  </si>
  <si>
    <t>Solar_share=0.8</t>
  </si>
  <si>
    <t>Solar_share=0.9</t>
  </si>
  <si>
    <t>Solar_share=1.0</t>
  </si>
  <si>
    <t>VRE_Ratio=2.0</t>
  </si>
  <si>
    <t>VRE_Ratio=3.0</t>
  </si>
  <si>
    <t>VRE_Ratio=4.0</t>
  </si>
  <si>
    <t>VRE_Ratio=5.0</t>
  </si>
  <si>
    <t>Direct_Flow=0.7</t>
  </si>
  <si>
    <t>Direct_Flow=0.8</t>
  </si>
  <si>
    <t>Direct_Flow=0.9</t>
  </si>
  <si>
    <t>Drought_Gap=0.04</t>
  </si>
  <si>
    <t>Drought_Gap=0.08</t>
  </si>
  <si>
    <t>Drought_Gap=0.12</t>
  </si>
  <si>
    <t>StorageTarget_fixed=2.0h</t>
  </si>
  <si>
    <t>StorageTarget_fixed=4.0h</t>
  </si>
  <si>
    <t>StorageTarget_fixed=6.0h</t>
  </si>
  <si>
    <t>StorageTarget_fixed=8.0h</t>
  </si>
  <si>
    <t>StorageTarget_mix(W=1h,S=6h)</t>
  </si>
  <si>
    <t>StorageTarget_mix(W=1h,S=8h)</t>
  </si>
  <si>
    <t>StorageTarget_mix(W=1h,S=10h)</t>
  </si>
  <si>
    <t>StorageTarget_mix(W=2h,S=6h)</t>
  </si>
  <si>
    <t>StorageTarget_mix(W=2h,S=8h)</t>
  </si>
  <si>
    <t>StorageTarget_mix(W=2h,S=10h)</t>
  </si>
  <si>
    <t>StorageTarget_mix(W=3h,S=6h)</t>
  </si>
  <si>
    <t>StorageTarget_mix(W=3h,S=8h)</t>
  </si>
  <si>
    <t>StorageTarget_mix(W=3h,S=10h)</t>
  </si>
  <si>
    <t>Repl(frac=0.25,yr=10)</t>
  </si>
  <si>
    <t>Repl(frac=0.25,yr=12)</t>
  </si>
  <si>
    <t>Repl(frac=0.25,yr=15)</t>
  </si>
  <si>
    <t>Repl(frac=0.5,yr=10)</t>
  </si>
  <si>
    <t>Repl(frac=0.5,yr=12)</t>
  </si>
  <si>
    <t>Repl(frac=0.5,yr=15)</t>
  </si>
  <si>
    <t>Repl(frac=0.75,yr=10)</t>
  </si>
  <si>
    <t>Repl(frac=0.75,yr=12)</t>
  </si>
  <si>
    <t>Repl(frac=0.75,yr=15)</t>
  </si>
  <si>
    <t>CF(sol=0.18,wnd=0.3)</t>
  </si>
  <si>
    <t>CF(sol=0.18,wnd=0.35)</t>
  </si>
  <si>
    <t>CF(sol=0.18,wnd=0.4)</t>
  </si>
  <si>
    <t>CF(sol=0.22,wnd=0.3)</t>
  </si>
  <si>
    <t>CF(sol=0.22,wnd=0.35)</t>
  </si>
  <si>
    <t>CF(sol=0.22,wnd=0.4)</t>
  </si>
  <si>
    <t>CF(sol=0.26,wnd=0.3)</t>
  </si>
  <si>
    <t>CF(sol=0.26,wnd=0.35)</t>
  </si>
  <si>
    <t>CF(sol=0.26,wnd=0.4)</t>
  </si>
  <si>
    <t>WACC(b-0.02,s-0.01,w-0.01)</t>
  </si>
  <si>
    <t>WACC(b-0.02,s-0.01,w+0.00)</t>
  </si>
  <si>
    <t>WACC(b-0.02,s-0.01,w+0.01)</t>
  </si>
  <si>
    <t>WACC(b-0.02,s+0.00,w-0.01)</t>
  </si>
  <si>
    <t>WACC(b-0.02,s+0.00,w+0.00)</t>
  </si>
  <si>
    <t>WACC(b-0.02,s+0.00,w+0.01)</t>
  </si>
  <si>
    <t>WACC(b-0.02,s+0.01,w-0.01)</t>
  </si>
  <si>
    <t>WACC(b-0.02,s+0.01,w+0.00)</t>
  </si>
  <si>
    <t>WACC(b-0.02,s+0.01,w+0.01)</t>
  </si>
  <si>
    <t>WACC(b-0.01,s-0.01,w-0.01)</t>
  </si>
  <si>
    <t>WACC(b-0.01,s-0.01,w+0.00)</t>
  </si>
  <si>
    <t>WACC(b-0.01,s-0.01,w+0.01)</t>
  </si>
  <si>
    <t>WACC(b-0.01,s+0.00,w-0.01)</t>
  </si>
  <si>
    <t>WACC(b-0.01,s+0.00,w+0.00)</t>
  </si>
  <si>
    <t>WACC(b-0.01,s+0.00,w+0.01)</t>
  </si>
  <si>
    <t>WACC(b-0.01,s+0.01,w-0.01)</t>
  </si>
  <si>
    <t>WACC(b-0.01,s+0.01,w+0.00)</t>
  </si>
  <si>
    <t>WACC(b-0.01,s+0.01,w+0.01)</t>
  </si>
  <si>
    <t>WACC(b+0.00,s-0.01,w-0.01)</t>
  </si>
  <si>
    <t>WACC(b+0.00,s-0.01,w+0.00)</t>
  </si>
  <si>
    <t>WACC(b+0.00,s-0.01,w+0.01)</t>
  </si>
  <si>
    <t>WACC(b+0.00,s+0.00,w-0.01)</t>
  </si>
  <si>
    <t>WACC(b+0.00,s+0.00,w+0.00)</t>
  </si>
  <si>
    <t>WACC(b+0.00,s+0.00,w+0.01)</t>
  </si>
  <si>
    <t>WACC(b+0.00,s+0.01,w-0.01)</t>
  </si>
  <si>
    <t>WACC(b+0.00,s+0.01,w+0.00)</t>
  </si>
  <si>
    <t>WACC(b+0.00,s+0.01,w+0.01)</t>
  </si>
  <si>
    <t>WACC(b+0.01,s-0.01,w-0.01)</t>
  </si>
  <si>
    <t>WACC(b+0.01,s-0.01,w+0.00)</t>
  </si>
  <si>
    <t>WACC(b+0.01,s-0.01,w+0.01)</t>
  </si>
  <si>
    <t>WACC(b+0.01,s+0.00,w-0.01)</t>
  </si>
  <si>
    <t>WACC(b+0.01,s+0.00,w+0.00)</t>
  </si>
  <si>
    <t>WACC(b+0.01,s+0.00,w+0.01)</t>
  </si>
  <si>
    <t>WACC(b+0.01,s+0.01,w-0.01)</t>
  </si>
  <si>
    <t>WACC(b+0.01,s+0.01,w+0.00)</t>
  </si>
  <si>
    <t>WACC(b+0.01,s+0.01,w+0.01)</t>
  </si>
  <si>
    <t>WACC(b+0.02,s-0.01,w-0.01)</t>
  </si>
  <si>
    <t>WACC(b+0.02,s-0.01,w+0.00)</t>
  </si>
  <si>
    <t>WACC(b+0.02,s-0.01,w+0.01)</t>
  </si>
  <si>
    <t>WACC(b+0.02,s+0.00,w-0.01)</t>
  </si>
  <si>
    <t>WACC(b+0.02,s+0.00,w+0.00)</t>
  </si>
  <si>
    <t>WACC(b+0.02,s+0.00,w+0.01)</t>
  </si>
  <si>
    <t>WACC(b+0.02,s+0.01,w-0.01)</t>
  </si>
  <si>
    <t>WACC(b+0.02,s+0.01,w+0.00)</t>
  </si>
  <si>
    <t>WACC(b+0.02,s+0.01,w+0.01)</t>
  </si>
  <si>
    <t>ESEM MODEL CHANGELOG</t>
  </si>
  <si>
    <t>Documents every structural change made in Phase 1, 2 and 3.</t>
  </si>
  <si>
    <t>Phase</t>
  </si>
  <si>
    <t>Sheet</t>
  </si>
  <si>
    <t>Cell/Row</t>
  </si>
  <si>
    <t>Old Assumption</t>
  </si>
  <si>
    <t>New Assumption</t>
  </si>
  <si>
    <t>Reason</t>
  </si>
  <si>
    <t>Ph1</t>
  </si>
  <si>
    <t>Dashboard</t>
  </si>
  <si>
    <t>R33 VRE_CFe</t>
  </si>
  <si>
    <t>0.32 (hardcoded)</t>
  </si>
  <si>
    <t>Aligns supply CF with LRMC asset CF</t>
  </si>
  <si>
    <t>R48 Fwd_Alpha</t>
  </si>
  <si>
    <t>0.50</t>
  </si>
  <si>
    <t>0.65</t>
  </si>
  <si>
    <t>Enable private VRE entry at realistic WS levels</t>
  </si>
  <si>
    <t>R39-42</t>
  </si>
  <si>
    <t>WACCs added</t>
  </si>
  <si>
    <t>Batt/Sol/Wind/Gas WACC named ranges</t>
  </si>
  <si>
    <t>Move WACC to user-editable Dashboard</t>
  </si>
  <si>
    <t>R43 ESEM_WACC_Disc</t>
  </si>
  <si>
    <t>(new)</t>
  </si>
  <si>
    <t>0.0 default</t>
  </si>
  <si>
    <t>Live dial for ESEM de-risking channel</t>
  </si>
  <si>
    <t>Building assets</t>
  </si>
  <si>
    <t>R72 direct_flow</t>
  </si>
  <si>
    <t>0.80</t>
  </si>
  <si>
    <t>Realistic battery cycling (~368 cycles/yr)</t>
  </si>
  <si>
    <t>R73 label</t>
  </si>
  <si>
    <t>CF_bulk</t>
  </si>
  <si>
    <t>Honest label; value can exceed 1.0</t>
  </si>
  <si>
    <t>Model</t>
  </si>
  <si>
    <t>R22 all 26 cols</t>
  </si>
  <si>
    <t>Piecewise LRMC toggle + SIC adder</t>
  </si>
  <si>
    <t>Ph2</t>
  </si>
  <si>
    <t>R115-120</t>
  </si>
  <si>
    <t>LRMC_Mode, Trend1, BP, Trend2, SIC_Base, SIC_Exp</t>
  </si>
  <si>
    <t>Scenario capability</t>
  </si>
  <si>
    <t>R121-136</t>
  </si>
  <si>
    <t>Alpha_Solar, Alpha_Wind, Optimize_Battery_Mix, CF_Solar/Wind, RTE_1h-8h, Direct_Flow, Drought_Gap</t>
  </si>
  <si>
    <t>Phase 3 configurable parameters</t>
  </si>
  <si>
    <t>Ph3</t>
  </si>
  <si>
    <t>R5 (B5)</t>
  </si>
  <si>
    <t>3 (hardcoded)</t>
  </si>
  <si>
    <t>Parameterise from Dashboard</t>
  </si>
  <si>
    <t>R31-R34 annuities</t>
  </si>
  <si>
    <t>×0.25 (fixed)</t>
  </si>
  <si>
    <t>×w_1h_active...w_8h_active</t>
  </si>
  <si>
    <t>Battery weights now decision variables</t>
  </si>
  <si>
    <t>R35-R36 VRE annuities</t>
  </si>
  <si>
    <t>×2/3 or ×1/3</t>
  </si>
  <si>
    <t>×Alpha_Solar or ×Alpha_Wind</t>
  </si>
  <si>
    <t>Solar share now user-configurable</t>
  </si>
  <si>
    <t>R47 Battery O&amp;M</t>
  </si>
  <si>
    <t>×active weights</t>
  </si>
  <si>
    <t>Consistent with optimised battery mix</t>
  </si>
  <si>
    <t>R48 VRE O&amp;M</t>
  </si>
  <si>
    <t>×2/3, ×1/3</t>
  </si>
  <si>
    <t>×Alpha_Solar, ×Alpha_Wind</t>
  </si>
  <si>
    <t>Consistent with Alpha parameter</t>
  </si>
  <si>
    <t>R55-R58 replacement</t>
  </si>
  <si>
    <t>Consistent with optimised mix</t>
  </si>
  <si>
    <t>R67 CF_Solar</t>
  </si>
  <si>
    <t>0.22 (hardcoded)</t>
  </si>
  <si>
    <t>User-configurable from Dashboard</t>
  </si>
  <si>
    <t>R68 CF_Wind</t>
  </si>
  <si>
    <t>0.35 (hardcoded)</t>
  </si>
  <si>
    <t>R69 VRE_CF</t>
  </si>
  <si>
    <t>Parameterise solar share</t>
  </si>
  <si>
    <t>R70 RTE</t>
  </si>
  <si>
    <t>0.9 (hardcoded)</t>
  </si>
  <si>
    <t>Link to Dashboard param</t>
  </si>
  <si>
    <t>R71 Drought</t>
  </si>
  <si>
    <t>0.08 (hardcoded)</t>
  </si>
  <si>
    <t>R72 Direct_Flow</t>
  </si>
  <si>
    <t>0.80 (hardcoded)</t>
  </si>
  <si>
    <t>R141 (new)</t>
  </si>
  <si>
    <t>(none)</t>
  </si>
  <si>
    <t>Per-year DEF using Battery_RTE_Effective</t>
  </si>
  <si>
    <t>Supports different RTE by duration</t>
  </si>
  <si>
    <t>R78 LRMC formula</t>
  </si>
  <si>
    <t>1000*B61/(8760*$B$73)</t>
  </si>
  <si>
    <t>1000*{c}61/(8760*{c}141)</t>
  </si>
  <si>
    <t>Per-year DEF; active weights flow through R61</t>
  </si>
  <si>
    <t>R129-132 (new)</t>
  </si>
  <si>
    <t>Active battery weight rows (IF optimise/equal)</t>
  </si>
  <si>
    <t>New decision variable infrastructure</t>
  </si>
  <si>
    <t>SENSITIVITY_ANALYSIS</t>
  </si>
  <si>
    <t>(new sheet)</t>
  </si>
  <si>
    <t>Pre-computed scenario sweep</t>
  </si>
  <si>
    <t>Part 9 of specification</t>
  </si>
  <si>
    <t>CHANGELOG</t>
  </si>
  <si>
    <t>This changelog</t>
  </si>
  <si>
    <t>Documentation requirement</t>
  </si>
  <si>
    <t>METHODOLOGY_NOTE</t>
  </si>
  <si>
    <t>Concise methodology explanation</t>
  </si>
  <si>
    <t>ESEM MODEL — VRE+Storage LRMC Methodology Note</t>
  </si>
  <si>
    <t>PURPOSE</t>
  </si>
  <si>
    <t>This module derives a reduced-form Long-Run Marginal Cost (LRMC) for a stylised new-build VRE+battery storage entrant. The LRMC acts as an investment signal in the broader ESEM electricity market model: private VRE enters when the forward price exceeds this LRMC.</t>
  </si>
  <si>
    <t>WHY SOLAR SHARE IS NOW EXPLICIT</t>
  </si>
  <si>
    <t>The original model hardcoded 2/3 solar and 1/3 wind throughout all cost and CF calculations. This prevented sensitivity analysis over the generation mix. Alpha_Solar (Dashboard R121) now drives all solar/wind weights. Alpha_Wind = 1 - Alpha_Solar is derived automatically. The base case (Alpha_Solar=0.67) reproduces the original results.</t>
  </si>
  <si>
    <t>WHY BATTERY MIX IS NOW ENDOGENOUS</t>
  </si>
  <si>
    <t>The original model assumed equal 25% weight across 1h, 2h, 4h and 8h batteries. In reality an investor would choose the duration mix that minimises LRMC subject to a storage adequacy constraint (Storage_Target_Hours). The optimizer shows that longer-duration batteries are cheaper per MWh of storage capacity at current costs, so the optimal mix concentrates on fewer but longer-duration units when the hours target allows.</t>
  </si>
  <si>
    <t>WHAT DELIVERED ENERGY FACTOR (DEF) MEANS</t>
  </si>
  <si>
    <t>DEF = (Direct_Flow + (1-Direct_Flow) x RTE_eff) x VRE_Ratio x VRE_CF_blended x (1-Drought_Gap). This is NOT a conventional capacity factor. It represents the annual MWh delivered per kW of storage-reference capacity. It can exceed 1.0 when VRE_Ratio &gt; 1 because the VRE nameplate capacity is larger than the storage reference capacity. The formula accounts for: (a) the share of VRE energy that flows directly to load (no battery losses); (b) the share that passes through the battery (reduced by RTE); (c) the VRE oversizing ratio; (d) the blended capacity factor of the VRE fleet; and (e) drought/curtailment gaps.</t>
  </si>
  <si>
    <t>HOW THE BATTERY OPTIMISATION WORKS</t>
  </si>
  <si>
    <t>1. Determine Storage_Target_Hours: if Storage_Target_Mode="fixed_hours" use Storage_Target_Hours_Fixed; if "mix_based" use Alpha_Solar*Storage_Target_Hours_Solar + Alpha_Wind*Storage_Target_Hours_Wind. 2. Grid-search over (w_1h, w_2h, w_4h, w_8h) at Battery_Mix_Step (default 0.05) increments, subject to: all weights &gt;= 0, weights sum to 1, Battery_Hours_Effective &gt;= Storage_Target_Hours. 3. For each feasible combination compute LRMC = 1000*All_In_Cost/(8760*DEF). 4. Select the combination with the minimum LRMC. 5. Run separately for each of the 26 model years (capex trajectories differ by year). 6. Store optimal weights in Building assets rows. Toggle Optimize_Battery_Mix=0 on Dashboard to revert to equal 25% weights.</t>
  </si>
  <si>
    <t>KEY SENSITIVITIES</t>
  </si>
  <si>
    <t>See SENSITIVITY_ANALYSIS sheet for pre-computed sweep results. Key drivers of LRMC: (1) Battery and VRE WACC — each 1ppt reduction saves ~$9/MWh. (2) VRE_Ratio — higher ratio increases DEF denominator faster than it increases VRE capex, so LRMC falls up to a point. (3) Alpha_Solar — solar has lower CF (0.22 vs 0.35) but lower O&amp;M; wind is cheaper at longer planning periods. Optimal mix depends on relative capex trajectories. (4) Storage_Target_Hours — tighter constraints force more expensive longer-duration batteries.</t>
  </si>
  <si>
    <t>BASE CASE REPRODUCTION</t>
  </si>
  <si>
    <t>Setting Alpha_Solar=0.67, Optimize_Battery_Mix=0 (equal 25% weights) and all other Dashboard parameters to their defaults reproduces the Phase 2 LRMC values to within spreadsheet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</si>
</sst>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164" formatCode="#,##0.0"/>
    <numFmt numFmtId="165" formatCode="\$#,##0.0"/>
    <numFmt numFmtId="166" formatCode="0.00\×"/>
    <numFmt numFmtId="167" formatCode="\+#,##0.0;\-#,##0.0;\-"/>
    <numFmt numFmtId="168" formatCode="0.0"/>
    <numFmt numFmtId="169" formatCode="_-&quot;$&quot;* #,##0_-;\-&quot;$&quot;* #,##0_-;_-&quot;$&quot;* &quot;-&quot;??_-;_-@_-"/>
    <numFmt numFmtId="170" formatCode="0.##"/>
  </numFmts>
  <fonts count="34">
    <font>
      <sz val="11"/>
      <color theme="1"/>
      <name val="Calibri"/>
      <family val="2"/>
      <charset val="1"/>
    </font>
    <font>
      <b/>
      <sz val="8"/>
      <color rgb="FFFFFFFF"/>
      <name val="Arial"/>
      <family val="2"/>
    </font>
    <font>
      <b/>
      <sz val="14"/>
      <color rgb="FF1F4E79"/>
      <name val="Arial"/>
      <family val="2"/>
    </font>
    <font>
      <i/>
      <sz val="9"/>
      <color rgb="FF888888"/>
      <name val="Arial"/>
      <family val="2"/>
    </font>
    <font>
      <sz val="8"/>
      <name val="Arial"/>
      <family val="2"/>
    </font>
    <font>
      <sz val="11"/>
      <color theme="1"/>
      <name val="Calibri"/>
      <family val="2"/>
      <charset val="1"/>
    </font>
    <font>
      <b/>
      <sz val="11"/>
      <color rgb="FFFFFFFF"/>
      <name val="Calibri"/>
      <family val="2"/>
    </font>
    <font>
      <i/>
      <sz val="9"/>
      <name val="Calibri"/>
      <family val="2"/>
    </font>
    <font>
      <b/>
      <sz val="10"/>
      <color rgb="FFFFFFFF"/>
      <name val="Calibri"/>
      <family val="2"/>
    </font>
    <font>
      <b/>
      <sz val="9"/>
      <color rgb="FF1F3864"/>
      <name val="Calibri"/>
      <family val="2"/>
    </font>
    <font>
      <sz val="9"/>
      <name val="Calibri"/>
      <family val="2"/>
    </font>
    <font>
      <b/>
      <i/>
      <sz val="9"/>
      <color rgb="FF1F3864"/>
      <name val="Calibri"/>
      <family val="2"/>
    </font>
    <font>
      <b/>
      <sz val="11"/>
      <name val="Calibri"/>
      <family val="2"/>
    </font>
    <font>
      <sz val="11"/>
      <name val="Calibri"/>
      <family val="2"/>
    </font>
    <font>
      <b/>
      <sz val="13"/>
      <name val="Calibri"/>
      <family val="2"/>
    </font>
    <font>
      <i/>
      <sz val="11"/>
      <color rgb="FF595959"/>
      <name val="Calibri"/>
      <family val="2"/>
    </font>
    <font>
      <b/>
      <sz val="11"/>
      <name val="Calibri"/>
      <family val="2"/>
    </font>
    <font>
      <b/>
      <sz val="11"/>
      <name val="Calibri"/>
      <family val="2"/>
    </font>
    <font>
      <b/>
      <sz val="14"/>
      <name val="Calibri"/>
      <family val="2"/>
    </font>
    <font>
      <b/>
      <sz val="12"/>
      <name val="Calibri"/>
      <family val="2"/>
    </font>
    <font>
      <i/>
      <sz val="9"/>
      <color rgb="FF595959"/>
      <name val="Calibri"/>
      <family val="2"/>
    </font>
    <font>
      <b/>
      <sz val="10"/>
      <color rgb="FFFFFFFF"/>
      <name val="Calibri"/>
      <family val="2"/>
    </font>
    <font>
      <i/>
      <sz val="9"/>
      <color rgb="FF595959"/>
      <name val="Calibri"/>
      <family val="2"/>
    </font>
    <font>
      <b/>
      <sz val="10"/>
      <name val="Calibri"/>
      <family val="2"/>
    </font>
    <font>
      <sz val="10"/>
      <name val="Calibri"/>
      <family val="2"/>
    </font>
    <font>
      <sz val="10"/>
      <name val="Calibri"/>
      <family val="2"/>
    </font>
    <font>
      <b/>
      <sz val="10"/>
      <name val="Calibri"/>
      <family val="2"/>
    </font>
    <font>
      <b/>
      <sz val="11"/>
      <color theme="1"/>
      <name val="Calibri"/>
      <family val="2"/>
    </font>
    <font>
      <i/>
      <sz val="9"/>
      <color rgb="FF595959"/>
      <name val="Calibri"/>
      <family val="2"/>
    </font>
    <font>
      <sz val="11"/>
      <color theme="1"/>
      <name val="Calibri"/>
      <family val="2"/>
    </font>
    <font>
      <sz val="10"/>
      <color theme="1" tint="0.499984740745262"/>
      <name val="Calibri"/>
      <family val="2"/>
    </font>
    <font>
      <i/>
      <sz val="10"/>
      <color theme="1" tint="0.499984740745262"/>
      <name val="Calibri"/>
      <family val="2"/>
    </font>
    <font>
      <i/>
      <sz val="10"/>
      <color rgb="FF595959"/>
      <name val="Calibri"/>
      <family val="2"/>
    </font>
    <font>
      <sz val="10"/>
      <color theme="1"/>
      <name val="Calibri"/>
      <family val="2"/>
    </font>
  </fonts>
  <fills count="21">
    <fill>
      <patternFill patternType="none"/>
    </fill>
    <fill>
      <patternFill patternType="gray125"/>
    </fill>
    <fill>
      <patternFill patternType="solid">
        <fgColor rgb="FF1F4E79"/>
        <bgColor rgb="FF003366"/>
      </patternFill>
    </fill>
    <fill>
      <patternFill patternType="solid">
        <fgColor rgb="FFFFFFFF"/>
        <bgColor rgb="FFF8F8F8"/>
      </patternFill>
    </fill>
    <fill>
      <patternFill patternType="solid">
        <fgColor rgb="FF2E6FA3"/>
        <bgColor rgb="FF4472C4"/>
      </patternFill>
    </fill>
    <fill>
      <patternFill patternType="solid">
        <fgColor rgb="FFC00000"/>
        <bgColor rgb="FF800000"/>
      </patternFill>
    </fill>
    <fill>
      <patternFill patternType="solid">
        <fgColor rgb="FF1F3864"/>
      </patternFill>
    </fill>
    <fill>
      <patternFill patternType="solid">
        <fgColor rgb="FF2E75B6"/>
      </patternFill>
    </fill>
    <fill>
      <patternFill patternType="solid">
        <fgColor rgb="FFD6E4F0"/>
      </patternFill>
    </fill>
    <fill>
      <patternFill patternType="solid">
        <fgColor rgb="FFF2F7FB"/>
      </patternFill>
    </fill>
    <fill>
      <patternFill patternType="solid">
        <fgColor rgb="FFFFFFFF"/>
      </patternFill>
    </fill>
    <fill>
      <patternFill patternType="solid">
        <fgColor rgb="FFBDD7EE"/>
      </patternFill>
    </fill>
    <fill>
      <patternFill patternType="solid">
        <fgColor rgb="FF2E75B6"/>
      </patternFill>
    </fill>
    <fill>
      <patternFill patternType="solid">
        <fgColor rgb="FFBDD7EE"/>
      </patternFill>
    </fill>
    <fill>
      <patternFill patternType="solid">
        <fgColor rgb="FFFFF2CC"/>
      </patternFill>
    </fill>
    <fill>
      <patternFill patternType="solid">
        <fgColor rgb="FFFCE4D6"/>
      </patternFill>
    </fill>
    <fill>
      <patternFill patternType="solid">
        <fgColor rgb="FFFFFFFF"/>
      </patternFill>
    </fill>
    <fill>
      <patternFill patternType="solid">
        <fgColor rgb="FF1F4E79"/>
      </patternFill>
    </fill>
    <fill>
      <patternFill patternType="solid">
        <fgColor rgb="FFE2EFDA"/>
      </patternFill>
    </fill>
    <fill>
      <patternFill patternType="solid">
        <fgColor rgb="FFF2F2F2"/>
      </patternFill>
    </fill>
    <fill>
      <patternFill patternType="solid">
        <fgColor rgb="FFE2EFDA"/>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44" fontId="5" fillId="0" borderId="0"/>
  </cellStyleXfs>
  <cellXfs count="114">
    <xf numFmtId="0" fontId="0" fillId="0" borderId="0" xfId="0"/>
    <xf numFmtId="0" fontId="0" fillId="3" borderId="0" xfId="0" applyFill="1"/>
    <xf numFmtId="0" fontId="2" fillId="3" borderId="0" xfId="0" applyFont="1" applyFill="1" applyAlignment="1">
      <alignment horizontal="left" vertical="center"/>
    </xf>
    <xf numFmtId="0" fontId="3" fillId="3" borderId="0" xfId="0" applyFont="1" applyFill="1" applyAlignment="1">
      <alignment horizontal="left" vertical="center"/>
    </xf>
    <xf numFmtId="0" fontId="1" fillId="2" borderId="1" xfId="0" applyFont="1" applyFill="1" applyBorder="1" applyAlignment="1">
      <alignment horizontal="center" wrapText="1"/>
    </xf>
    <xf numFmtId="0" fontId="1" fillId="4" borderId="1" xfId="0" applyFont="1" applyFill="1" applyBorder="1" applyAlignment="1">
      <alignment horizontal="center" wrapText="1"/>
    </xf>
    <xf numFmtId="0" fontId="1" fillId="5" borderId="1" xfId="0" applyFont="1" applyFill="1" applyBorder="1" applyAlignment="1">
      <alignment horizontal="center" wrapText="1"/>
    </xf>
    <xf numFmtId="0" fontId="1" fillId="3" borderId="1" xfId="0" applyFont="1" applyFill="1" applyBorder="1" applyAlignment="1">
      <alignment horizontal="center" wrapText="1"/>
    </xf>
    <xf numFmtId="0" fontId="1" fillId="2" borderId="1" xfId="0" applyFont="1" applyFill="1" applyBorder="1"/>
    <xf numFmtId="0" fontId="4" fillId="3" borderId="1" xfId="0" applyFont="1" applyFill="1" applyBorder="1" applyAlignment="1">
      <alignment horizontal="right"/>
    </xf>
    <xf numFmtId="164" fontId="4" fillId="3" borderId="1" xfId="0" applyNumberFormat="1" applyFont="1" applyFill="1" applyBorder="1" applyAlignment="1">
      <alignment horizontal="right" vertical="center"/>
    </xf>
    <xf numFmtId="165" fontId="4" fillId="3" borderId="1" xfId="0" applyNumberFormat="1" applyFont="1" applyFill="1" applyBorder="1" applyAlignment="1">
      <alignment horizontal="right" vertical="center"/>
    </xf>
    <xf numFmtId="3" fontId="4" fillId="3" borderId="1" xfId="0" applyNumberFormat="1" applyFont="1" applyFill="1" applyBorder="1" applyAlignment="1">
      <alignment horizontal="right" vertical="center"/>
    </xf>
    <xf numFmtId="4" fontId="4" fillId="3" borderId="1" xfId="0" applyNumberFormat="1" applyFont="1" applyFill="1" applyBorder="1" applyAlignment="1">
      <alignment horizontal="right" vertical="center"/>
    </xf>
    <xf numFmtId="166" fontId="4" fillId="3" borderId="1" xfId="0" applyNumberFormat="1" applyFont="1" applyFill="1" applyBorder="1" applyAlignment="1">
      <alignment horizontal="right" vertical="center"/>
    </xf>
    <xf numFmtId="167" fontId="4" fillId="3" borderId="1" xfId="0" applyNumberFormat="1" applyFont="1" applyFill="1" applyBorder="1" applyAlignment="1">
      <alignment horizontal="right" vertical="center"/>
    </xf>
    <xf numFmtId="164" fontId="4" fillId="3" borderId="1" xfId="0" applyNumberFormat="1" applyFont="1" applyFill="1" applyBorder="1" applyAlignment="1">
      <alignment horizontal="right"/>
    </xf>
    <xf numFmtId="164" fontId="4" fillId="0" borderId="1" xfId="0" applyNumberFormat="1" applyFont="1" applyBorder="1"/>
    <xf numFmtId="0" fontId="4" fillId="0" borderId="1" xfId="0" applyFont="1" applyBorder="1" applyAlignment="1">
      <alignment horizontal="right"/>
    </xf>
    <xf numFmtId="164" fontId="4" fillId="0" borderId="1" xfId="0" applyNumberFormat="1" applyFont="1" applyBorder="1" applyAlignment="1">
      <alignment horizontal="right"/>
    </xf>
    <xf numFmtId="165" fontId="4" fillId="0" borderId="1" xfId="0" applyNumberFormat="1" applyFont="1" applyBorder="1" applyAlignment="1">
      <alignment horizontal="right"/>
    </xf>
    <xf numFmtId="168" fontId="4" fillId="0" borderId="1" xfId="0" applyNumberFormat="1" applyFont="1" applyBorder="1" applyAlignment="1">
      <alignment horizontal="right"/>
    </xf>
    <xf numFmtId="3" fontId="0" fillId="0" borderId="0" xfId="0" applyNumberFormat="1"/>
    <xf numFmtId="2" fontId="1" fillId="2" borderId="1" xfId="0" applyNumberFormat="1" applyFont="1" applyFill="1" applyBorder="1" applyAlignment="1">
      <alignment horizontal="center" wrapText="1"/>
    </xf>
    <xf numFmtId="2" fontId="4" fillId="3" borderId="1" xfId="0" applyNumberFormat="1" applyFont="1" applyFill="1" applyBorder="1" applyAlignment="1">
      <alignment horizontal="right" vertical="center"/>
    </xf>
    <xf numFmtId="2" fontId="0" fillId="3" borderId="0" xfId="0" applyNumberFormat="1" applyFill="1"/>
    <xf numFmtId="44" fontId="4" fillId="3" borderId="1" xfId="1" applyFont="1" applyFill="1" applyBorder="1" applyAlignment="1">
      <alignment horizontal="right" vertical="center"/>
    </xf>
    <xf numFmtId="0" fontId="9" fillId="8" borderId="0" xfId="0" applyFont="1" applyFill="1" applyAlignment="1">
      <alignment horizontal="center" vertical="top"/>
    </xf>
    <xf numFmtId="0" fontId="9" fillId="9" borderId="0" xfId="0" applyFont="1" applyFill="1" applyAlignment="1">
      <alignment vertical="top" wrapText="1"/>
    </xf>
    <xf numFmtId="0" fontId="10" fillId="9" borderId="0" xfId="0" applyFont="1" applyFill="1" applyAlignment="1">
      <alignment vertical="top" wrapText="1"/>
    </xf>
    <xf numFmtId="0" fontId="9" fillId="10" borderId="0" xfId="0" applyFont="1" applyFill="1" applyAlignment="1">
      <alignment vertical="top" wrapText="1"/>
    </xf>
    <xf numFmtId="0" fontId="10" fillId="10" borderId="0" xfId="0" applyFont="1" applyFill="1" applyAlignment="1">
      <alignment vertical="top" wrapText="1"/>
    </xf>
    <xf numFmtId="0" fontId="12" fillId="0" borderId="0" xfId="0" applyFont="1"/>
    <xf numFmtId="0" fontId="14" fillId="0" borderId="0" xfId="0" applyFont="1"/>
    <xf numFmtId="0" fontId="13" fillId="0" borderId="0" xfId="0" applyFont="1"/>
    <xf numFmtId="0" fontId="15" fillId="0" borderId="0" xfId="0" applyFont="1"/>
    <xf numFmtId="2" fontId="13" fillId="0" borderId="0" xfId="0" applyNumberFormat="1" applyFont="1"/>
    <xf numFmtId="169" fontId="13" fillId="0" borderId="0" xfId="1" applyNumberFormat="1" applyFont="1"/>
    <xf numFmtId="0" fontId="13" fillId="0" borderId="0" xfId="0" applyFont="1" applyAlignment="1">
      <alignment horizontal="left" vertical="top"/>
    </xf>
    <xf numFmtId="0" fontId="16" fillId="0" borderId="0" xfId="0" applyFont="1"/>
    <xf numFmtId="0" fontId="17" fillId="11" borderId="0" xfId="0" applyFont="1" applyFill="1"/>
    <xf numFmtId="0" fontId="17" fillId="0" borderId="0" xfId="0" applyFont="1"/>
    <xf numFmtId="0" fontId="18" fillId="0" borderId="0" xfId="0" applyFont="1"/>
    <xf numFmtId="0" fontId="18" fillId="0" borderId="0" xfId="0" applyFont="1" applyAlignment="1">
      <alignment wrapText="1"/>
    </xf>
    <xf numFmtId="0" fontId="0" fillId="0" borderId="0" xfId="0" applyAlignment="1">
      <alignment wrapText="1"/>
    </xf>
    <xf numFmtId="0" fontId="19" fillId="0" borderId="0" xfId="0" applyFont="1" applyAlignment="1">
      <alignment wrapText="1"/>
    </xf>
    <xf numFmtId="0" fontId="22" fillId="0" borderId="0" xfId="0" applyFont="1" applyAlignment="1">
      <alignment horizontal="left" vertical="center" wrapText="1"/>
    </xf>
    <xf numFmtId="0" fontId="23" fillId="13" borderId="0" xfId="0" applyFont="1" applyFill="1" applyAlignment="1">
      <alignment horizontal="center" vertical="center" wrapText="1"/>
    </xf>
    <xf numFmtId="0" fontId="23" fillId="0" borderId="0" xfId="0" applyFont="1" applyAlignment="1">
      <alignment horizontal="left" vertical="center" wrapText="1"/>
    </xf>
    <xf numFmtId="0" fontId="23" fillId="14" borderId="0" xfId="0" applyFont="1" applyFill="1" applyAlignment="1">
      <alignment horizontal="center" vertical="center" wrapText="1"/>
    </xf>
    <xf numFmtId="0" fontId="23" fillId="13" borderId="0" xfId="0" applyFont="1" applyFill="1" applyAlignment="1">
      <alignment horizontal="left" vertical="center"/>
    </xf>
    <xf numFmtId="0" fontId="24" fillId="0" borderId="0" xfId="0" applyFont="1" applyAlignment="1">
      <alignment horizontal="left" vertical="center" wrapText="1"/>
    </xf>
    <xf numFmtId="0" fontId="24" fillId="14" borderId="0" xfId="0" applyFont="1" applyFill="1" applyAlignment="1">
      <alignment horizontal="left" vertical="center" wrapText="1"/>
    </xf>
    <xf numFmtId="170" fontId="22" fillId="0" borderId="0" xfId="0" applyNumberFormat="1" applyFont="1" applyAlignment="1">
      <alignment horizontal="left" vertical="center" wrapText="1"/>
    </xf>
    <xf numFmtId="0" fontId="24" fillId="15" borderId="0" xfId="0" applyFont="1" applyFill="1" applyAlignment="1">
      <alignment horizontal="left" vertical="center" wrapText="1"/>
    </xf>
    <xf numFmtId="0" fontId="24" fillId="16" borderId="0" xfId="0" applyFont="1" applyFill="1" applyAlignment="1">
      <alignment horizontal="left" vertical="center" wrapText="1"/>
    </xf>
    <xf numFmtId="0" fontId="23" fillId="13" borderId="0" xfId="0" applyFont="1" applyFill="1" applyAlignment="1">
      <alignment horizontal="left" vertical="center" wrapText="1"/>
    </xf>
    <xf numFmtId="0" fontId="22" fillId="13" borderId="0" xfId="0" applyFont="1" applyFill="1"/>
    <xf numFmtId="0" fontId="23" fillId="18" borderId="0" xfId="0" applyFont="1" applyFill="1" applyAlignment="1">
      <alignment horizontal="left" vertical="center" wrapText="1"/>
    </xf>
    <xf numFmtId="0" fontId="0" fillId="18" borderId="0" xfId="0" applyFill="1"/>
    <xf numFmtId="0" fontId="0" fillId="19" borderId="0" xfId="0" applyFill="1"/>
    <xf numFmtId="0" fontId="23" fillId="14" borderId="0" xfId="0" applyFont="1" applyFill="1" applyAlignment="1">
      <alignment horizontal="left" vertical="center" wrapText="1"/>
    </xf>
    <xf numFmtId="164" fontId="24" fillId="18" borderId="0" xfId="0" applyNumberFormat="1" applyFont="1" applyFill="1" applyAlignment="1">
      <alignment horizontal="left" vertical="center" wrapText="1"/>
    </xf>
    <xf numFmtId="164" fontId="22" fillId="16" borderId="0" xfId="0" applyNumberFormat="1" applyFont="1" applyFill="1" applyAlignment="1">
      <alignment horizontal="left" vertical="center" wrapText="1"/>
    </xf>
    <xf numFmtId="0" fontId="22" fillId="0" borderId="0" xfId="0" applyFont="1" applyAlignment="1">
      <alignment horizontal="center" vertical="center" wrapText="1"/>
    </xf>
    <xf numFmtId="0" fontId="0" fillId="0" borderId="0" xfId="0" applyAlignment="1">
      <alignment horizontal="left" vertical="center" wrapText="1"/>
    </xf>
    <xf numFmtId="0" fontId="20" fillId="0" borderId="0" xfId="0" applyFont="1" applyAlignment="1">
      <alignment horizontal="left" vertical="center" wrapText="1"/>
    </xf>
    <xf numFmtId="0" fontId="25" fillId="0" borderId="0" xfId="0" applyFont="1" applyAlignment="1">
      <alignment horizontal="left" vertical="center" wrapText="1"/>
    </xf>
    <xf numFmtId="0" fontId="12" fillId="11" borderId="0" xfId="0" applyFont="1" applyFill="1"/>
    <xf numFmtId="169" fontId="5" fillId="0" borderId="0" xfId="1" applyNumberFormat="1"/>
    <xf numFmtId="169" fontId="27" fillId="0" borderId="0" xfId="1" applyNumberFormat="1" applyFont="1"/>
    <xf numFmtId="0" fontId="28" fillId="0" borderId="0" xfId="0" applyFont="1" applyAlignment="1">
      <alignment horizontal="left" vertical="center" wrapText="1"/>
    </xf>
    <xf numFmtId="0" fontId="26" fillId="0" borderId="0" xfId="0" applyFont="1" applyAlignment="1">
      <alignment horizontal="left" vertical="center" wrapText="1"/>
    </xf>
    <xf numFmtId="0" fontId="23" fillId="20" borderId="0" xfId="0" applyFont="1" applyFill="1" applyAlignment="1">
      <alignment horizontal="left" vertical="center" wrapText="1"/>
    </xf>
    <xf numFmtId="0" fontId="13" fillId="0" borderId="0" xfId="1" applyNumberFormat="1" applyFont="1"/>
    <xf numFmtId="0" fontId="27" fillId="0" borderId="0" xfId="0" applyFont="1"/>
    <xf numFmtId="0" fontId="29" fillId="0" borderId="0" xfId="0" applyFont="1"/>
    <xf numFmtId="169" fontId="29" fillId="0" borderId="0" xfId="1" applyNumberFormat="1" applyFont="1"/>
    <xf numFmtId="0" fontId="5" fillId="0" borderId="0" xfId="1" applyNumberFormat="1"/>
    <xf numFmtId="0" fontId="12" fillId="20" borderId="0" xfId="0" applyFont="1" applyFill="1"/>
    <xf numFmtId="0" fontId="13" fillId="20" borderId="0" xfId="0" applyFont="1" applyFill="1"/>
    <xf numFmtId="0" fontId="30" fillId="0" borderId="0" xfId="0" applyFont="1"/>
    <xf numFmtId="0" fontId="31" fillId="0" borderId="0" xfId="0" applyFont="1" applyAlignment="1">
      <alignment horizontal="left" vertical="center" wrapText="1"/>
    </xf>
    <xf numFmtId="0" fontId="31" fillId="20" borderId="0" xfId="0" applyFont="1" applyFill="1" applyAlignment="1">
      <alignment horizontal="left" vertical="center" wrapText="1"/>
    </xf>
    <xf numFmtId="0" fontId="32" fillId="20" borderId="0" xfId="0" applyFont="1" applyFill="1" applyAlignment="1">
      <alignment horizontal="left" vertical="center" wrapText="1"/>
    </xf>
    <xf numFmtId="0" fontId="33" fillId="0" borderId="0" xfId="0" applyFont="1"/>
    <xf numFmtId="0" fontId="32" fillId="0" borderId="0" xfId="0" applyFont="1" applyAlignment="1">
      <alignment horizontal="left" vertical="center" wrapText="1"/>
    </xf>
    <xf numFmtId="0" fontId="32" fillId="13" borderId="0" xfId="0" applyFont="1" applyFill="1"/>
    <xf numFmtId="0" fontId="32" fillId="0" borderId="0" xfId="0" applyFont="1"/>
    <xf numFmtId="0" fontId="33" fillId="16" borderId="0" xfId="0" applyFont="1" applyFill="1"/>
    <xf numFmtId="0" fontId="33" fillId="20" borderId="0" xfId="0" applyFont="1" applyFill="1"/>
    <xf numFmtId="0" fontId="33" fillId="18" borderId="0" xfId="0" applyFont="1" applyFill="1"/>
    <xf numFmtId="0" fontId="33" fillId="0" borderId="0" xfId="0" applyFont="1" applyAlignment="1">
      <alignment horizontal="left" vertical="top"/>
    </xf>
    <xf numFmtId="2" fontId="33" fillId="20" borderId="0" xfId="1" applyNumberFormat="1" applyFont="1" applyFill="1"/>
    <xf numFmtId="2" fontId="33" fillId="20" borderId="0" xfId="0" applyNumberFormat="1" applyFont="1" applyFill="1"/>
    <xf numFmtId="2" fontId="33" fillId="18" borderId="0" xfId="0" applyNumberFormat="1" applyFont="1" applyFill="1"/>
    <xf numFmtId="2" fontId="33" fillId="0" borderId="0" xfId="0" applyNumberFormat="1" applyFont="1"/>
    <xf numFmtId="2" fontId="33" fillId="16" borderId="0" xfId="0" applyNumberFormat="1" applyFont="1" applyFill="1"/>
    <xf numFmtId="2" fontId="24" fillId="14" borderId="0" xfId="0" applyNumberFormat="1" applyFont="1" applyFill="1" applyAlignment="1">
      <alignment horizontal="left" vertical="center" wrapText="1"/>
    </xf>
    <xf numFmtId="2" fontId="24" fillId="0" borderId="0" xfId="0" applyNumberFormat="1" applyFont="1" applyAlignment="1">
      <alignment horizontal="left" vertical="center" wrapText="1"/>
    </xf>
    <xf numFmtId="2" fontId="0" fillId="0" borderId="0" xfId="0" applyNumberFormat="1"/>
    <xf numFmtId="0" fontId="23" fillId="13" borderId="0" xfId="0" applyFont="1" applyFill="1" applyAlignment="1">
      <alignment horizontal="left" vertical="center"/>
    </xf>
    <xf numFmtId="0" fontId="0" fillId="0" borderId="0" xfId="0"/>
    <xf numFmtId="0" fontId="22" fillId="0" borderId="0" xfId="0" applyFont="1" applyAlignment="1">
      <alignment horizontal="left" vertical="center" wrapText="1"/>
    </xf>
    <xf numFmtId="0" fontId="21" fillId="12" borderId="0" xfId="0" applyFont="1" applyFill="1" applyAlignment="1">
      <alignment horizontal="left" vertical="center" wrapText="1"/>
    </xf>
    <xf numFmtId="0" fontId="21" fillId="12" borderId="0" xfId="0" applyFont="1" applyFill="1" applyAlignment="1">
      <alignment horizontal="left" vertical="center"/>
    </xf>
    <xf numFmtId="0" fontId="8" fillId="17" borderId="0" xfId="0" applyFont="1" applyFill="1" applyAlignment="1">
      <alignment horizontal="left" vertical="center"/>
    </xf>
    <xf numFmtId="0" fontId="33" fillId="0" borderId="0" xfId="0" applyFont="1"/>
    <xf numFmtId="0" fontId="8" fillId="12" borderId="0" xfId="0" applyFont="1" applyFill="1" applyAlignment="1">
      <alignment horizontal="left" vertical="center"/>
    </xf>
    <xf numFmtId="0" fontId="7" fillId="0" borderId="0" xfId="0" applyFont="1" applyAlignment="1">
      <alignment vertical="top" wrapText="1"/>
    </xf>
    <xf numFmtId="0" fontId="8" fillId="7" borderId="0" xfId="0" applyFont="1" applyFill="1" applyAlignment="1">
      <alignment vertical="top" wrapText="1"/>
    </xf>
    <xf numFmtId="0" fontId="11" fillId="8" borderId="0" xfId="0" applyFont="1" applyFill="1" applyAlignment="1">
      <alignment wrapText="1"/>
    </xf>
    <xf numFmtId="0" fontId="6" fillId="6" borderId="0" xfId="0" applyFont="1" applyFill="1" applyAlignment="1">
      <alignment vertical="top" wrapText="1"/>
    </xf>
    <xf numFmtId="0" fontId="7" fillId="0" borderId="0" xfId="0" applyFont="1" applyAlignment="1">
      <alignment wrapText="1"/>
    </xf>
  </cellXfs>
  <cellStyles count="2">
    <cellStyle name="Currency" xfId="1" builtinId="4"/>
    <cellStyle name="Normal" xfId="0" builtinId="0"/>
  </cellStyles>
  <dxfs count="10">
    <dxf>
      <fill>
        <patternFill patternType="solid">
          <fgColor rgb="FFFF0000"/>
        </patternFill>
      </fill>
    </dxf>
    <dxf>
      <fill>
        <patternFill patternType="solid">
          <fgColor rgb="FF92D050"/>
        </patternFill>
      </fill>
    </dxf>
    <dxf>
      <fill>
        <patternFill patternType="solid">
          <fgColor rgb="FFFF0000"/>
        </patternFill>
      </fill>
    </dxf>
    <dxf>
      <fill>
        <patternFill patternType="solid">
          <fgColor rgb="FF92D050"/>
        </patternFill>
      </fill>
    </dxf>
    <dxf>
      <fill>
        <patternFill patternType="solid">
          <fgColor rgb="FFFF0000"/>
        </patternFill>
      </fill>
    </dxf>
    <dxf>
      <fill>
        <patternFill patternType="solid">
          <fgColor rgb="FF92D050"/>
        </patternFill>
      </fill>
    </dxf>
    <dxf>
      <fill>
        <patternFill patternType="solid">
          <fgColor rgb="FFFF0000"/>
        </patternFill>
      </fill>
    </dxf>
    <dxf>
      <fill>
        <patternFill patternType="solid">
          <fgColor rgb="FF92D050"/>
        </patternFill>
      </fill>
    </dxf>
    <dxf>
      <fill>
        <patternFill patternType="solid">
          <fgColor rgb="FFFF0000"/>
        </patternFill>
      </fill>
    </dxf>
    <dxf>
      <fill>
        <patternFill patternType="solid">
          <fgColor rgb="FF92D050"/>
        </patternFill>
      </fill>
    </dxf>
  </dxfs>
  <tableStyles count="0" defaultTableStyle="TableStyleMedium2" defaultPivotStyle="PivotStyleLight16"/>
  <colors>
    <indexedColors>
      <rgbColor rgb="FF000000"/>
      <rgbColor rgb="FFFFFFFF"/>
      <rgbColor rgb="FFC00000"/>
      <rgbColor rgb="FF00FF00"/>
      <rgbColor rgb="FF0000FF"/>
      <rgbColor rgb="FFF8F8F8"/>
      <rgbColor rgb="FFFF00FF"/>
      <rgbColor rgb="FF00FFFF"/>
      <rgbColor rgb="FF800000"/>
      <rgbColor rgb="FF008000"/>
      <rgbColor rgb="FF0000AA"/>
      <rgbColor rgb="FF777777"/>
      <rgbColor rgb="FF800080"/>
      <rgbColor rgb="FF008080"/>
      <rgbColor rgb="FFC9C9C9"/>
      <rgbColor rgb="FF888888"/>
      <rgbColor rgb="FF9999FF"/>
      <rgbColor rgb="FF595959"/>
      <rgbColor rgb="FFFFF8E7"/>
      <rgbColor rgb="FFF0F7FF"/>
      <rgbColor rgb="FF660066"/>
      <rgbColor rgb="FFE07B39"/>
      <rgbColor rgb="FF2E6FA3"/>
      <rgbColor rgb="FFCCCCCC"/>
      <rgbColor rgb="FF000080"/>
      <rgbColor rgb="FFFF00FF"/>
      <rgbColor rgb="FFFFFF00"/>
      <rgbColor rgb="FF00FFFF"/>
      <rgbColor rgb="FF800080"/>
      <rgbColor rgb="FF800000"/>
      <rgbColor rgb="FF008080"/>
      <rgbColor rgb="FF0000FF"/>
      <rgbColor rgb="FF00CCFF"/>
      <rgbColor rgb="FFF0F4F8"/>
      <rgbColor rgb="FFD6E4F0"/>
      <rgbColor rgb="FFFFF0F0"/>
      <rgbColor rgb="FFB3B3B3"/>
      <rgbColor rgb="FFFF9999"/>
      <rgbColor rgb="FFF2F2F2"/>
      <rgbColor rgb="FFD9D9D9"/>
      <rgbColor rgb="FF4472C4"/>
      <rgbColor rgb="FF33CCCC"/>
      <rgbColor rgb="FFA9D18E"/>
      <rgbColor rgb="FFFFCC00"/>
      <rgbColor rgb="FFFF9900"/>
      <rgbColor rgb="FFFF6600"/>
      <rgbColor rgb="FF666666"/>
      <rgbColor rgb="FFAAAAAA"/>
      <rgbColor rgb="FF003366"/>
      <rgbColor rgb="FF6AAB9E"/>
      <rgbColor rgb="FF003300"/>
      <rgbColor rgb="FF555555"/>
      <rgbColor rgb="FF993300"/>
      <rgbColor rgb="FF993366"/>
      <rgbColor rgb="FF1F4E7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AU" sz="1800" b="1" strike="noStrike" spc="-1">
                <a:solidFill>
                  <a:srgbClr val="000000"/>
                </a:solidFill>
                <a:latin typeface="Calibri"/>
              </a:rPr>
              <a:t>ESEM — Capacity Stack (GW)</a:t>
            </a:r>
          </a:p>
        </c:rich>
      </c:tx>
      <c:overlay val="0"/>
      <c:spPr>
        <a:noFill/>
        <a:ln w="0">
          <a:noFill/>
          <a:prstDash val="solid"/>
        </a:ln>
      </c:spPr>
    </c:title>
    <c:autoTitleDeleted val="0"/>
    <c:plotArea>
      <c:layout/>
      <c:barChart>
        <c:barDir val="col"/>
        <c:grouping val="stacked"/>
        <c:varyColors val="0"/>
        <c:ser>
          <c:idx val="0"/>
          <c:order val="0"/>
          <c:tx>
            <c:strRef>
              <c:f>Charts!$B$3</c:f>
              <c:strCache>
                <c:ptCount val="1"/>
                <c:pt idx="0">
                  <c:v>Coal GW</c:v>
                </c:pt>
              </c:strCache>
            </c:strRef>
          </c:tx>
          <c:spPr>
            <a:solidFill>
              <a:srgbClr val="595959"/>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Charts!$B$4:$B$29</c:f>
              <c:numCache>
                <c:formatCode>0.00</c:formatCode>
                <c:ptCount val="26"/>
                <c:pt idx="0">
                  <c:v>22</c:v>
                </c:pt>
                <c:pt idx="1">
                  <c:v>22</c:v>
                </c:pt>
                <c:pt idx="2">
                  <c:v>22</c:v>
                </c:pt>
                <c:pt idx="3">
                  <c:v>22</c:v>
                </c:pt>
                <c:pt idx="4">
                  <c:v>22</c:v>
                </c:pt>
                <c:pt idx="5">
                  <c:v>22</c:v>
                </c:pt>
                <c:pt idx="6">
                  <c:v>22</c:v>
                </c:pt>
                <c:pt idx="7">
                  <c:v>22</c:v>
                </c:pt>
                <c:pt idx="8">
                  <c:v>21.911679600889403</c:v>
                </c:pt>
                <c:pt idx="9">
                  <c:v>21.610282102326622</c:v>
                </c:pt>
                <c:pt idx="10">
                  <c:v>21.110288524636157</c:v>
                </c:pt>
                <c:pt idx="11">
                  <c:v>20.539529267290401</c:v>
                </c:pt>
                <c:pt idx="12">
                  <c:v>19.82827264990269</c:v>
                </c:pt>
                <c:pt idx="13">
                  <c:v>19.068269243252839</c:v>
                </c:pt>
                <c:pt idx="14">
                  <c:v>18.233307920790516</c:v>
                </c:pt>
                <c:pt idx="15">
                  <c:v>17.321378286586771</c:v>
                </c:pt>
                <c:pt idx="16">
                  <c:v>16.410630760284249</c:v>
                </c:pt>
                <c:pt idx="17">
                  <c:v>15.429501983019318</c:v>
                </c:pt>
                <c:pt idx="18">
                  <c:v>14.462570491575605</c:v>
                </c:pt>
                <c:pt idx="19">
                  <c:v>13.487846575379162</c:v>
                </c:pt>
                <c:pt idx="20">
                  <c:v>12.498094734783942</c:v>
                </c:pt>
                <c:pt idx="21">
                  <c:v>11.556433778232812</c:v>
                </c:pt>
                <c:pt idx="22">
                  <c:v>10.605732674706962</c:v>
                </c:pt>
                <c:pt idx="23">
                  <c:v>9.7010186643840868</c:v>
                </c:pt>
                <c:pt idx="24">
                  <c:v>8.8385433543004197</c:v>
                </c:pt>
                <c:pt idx="25">
                  <c:v>8.0227624163454756</c:v>
                </c:pt>
              </c:numCache>
            </c:numRef>
          </c:val>
          <c:extLst>
            <c:ext xmlns:c16="http://schemas.microsoft.com/office/drawing/2014/chart" uri="{C3380CC4-5D6E-409C-BE32-E72D297353CC}">
              <c16:uniqueId val="{00000000-FD00-48DB-8C3E-541A6CAD8CE7}"/>
            </c:ext>
          </c:extLst>
        </c:ser>
        <c:ser>
          <c:idx val="1"/>
          <c:order val="1"/>
          <c:tx>
            <c:strRef>
              <c:f>Charts!$C$3</c:f>
              <c:strCache>
                <c:ptCount val="1"/>
                <c:pt idx="0">
                  <c:v>Firm base GW</c:v>
                </c:pt>
              </c:strCache>
            </c:strRef>
          </c:tx>
          <c:spPr>
            <a:solidFill>
              <a:srgbClr val="E07B39"/>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Charts!$C$4:$C$29</c:f>
              <c:numCache>
                <c:formatCode>0.00</c:formatCode>
                <c:ptCount val="26"/>
                <c:pt idx="0">
                  <c:v>22</c:v>
                </c:pt>
                <c:pt idx="1">
                  <c:v>22</c:v>
                </c:pt>
                <c:pt idx="2">
                  <c:v>22</c:v>
                </c:pt>
                <c:pt idx="3">
                  <c:v>22</c:v>
                </c:pt>
                <c:pt idx="4">
                  <c:v>22</c:v>
                </c:pt>
                <c:pt idx="5">
                  <c:v>22</c:v>
                </c:pt>
                <c:pt idx="6">
                  <c:v>22</c:v>
                </c:pt>
                <c:pt idx="7">
                  <c:v>22</c:v>
                </c:pt>
                <c:pt idx="8">
                  <c:v>22</c:v>
                </c:pt>
                <c:pt idx="9">
                  <c:v>22</c:v>
                </c:pt>
                <c:pt idx="10">
                  <c:v>22</c:v>
                </c:pt>
                <c:pt idx="11">
                  <c:v>22</c:v>
                </c:pt>
                <c:pt idx="12">
                  <c:v>22</c:v>
                </c:pt>
                <c:pt idx="13">
                  <c:v>22</c:v>
                </c:pt>
                <c:pt idx="14">
                  <c:v>22</c:v>
                </c:pt>
                <c:pt idx="15">
                  <c:v>22</c:v>
                </c:pt>
                <c:pt idx="16">
                  <c:v>22</c:v>
                </c:pt>
                <c:pt idx="17">
                  <c:v>22</c:v>
                </c:pt>
                <c:pt idx="18">
                  <c:v>22</c:v>
                </c:pt>
                <c:pt idx="19">
                  <c:v>22</c:v>
                </c:pt>
                <c:pt idx="20">
                  <c:v>22</c:v>
                </c:pt>
                <c:pt idx="21">
                  <c:v>22</c:v>
                </c:pt>
                <c:pt idx="22">
                  <c:v>22</c:v>
                </c:pt>
                <c:pt idx="23">
                  <c:v>22</c:v>
                </c:pt>
                <c:pt idx="24">
                  <c:v>22</c:v>
                </c:pt>
                <c:pt idx="25">
                  <c:v>22</c:v>
                </c:pt>
              </c:numCache>
            </c:numRef>
          </c:val>
          <c:extLst>
            <c:ext xmlns:c16="http://schemas.microsoft.com/office/drawing/2014/chart" uri="{C3380CC4-5D6E-409C-BE32-E72D297353CC}">
              <c16:uniqueId val="{00000001-FD00-48DB-8C3E-541A6CAD8CE7}"/>
            </c:ext>
          </c:extLst>
        </c:ser>
        <c:ser>
          <c:idx val="2"/>
          <c:order val="2"/>
          <c:tx>
            <c:strRef>
              <c:f>Charts!$D$3</c:f>
              <c:strCache>
                <c:ptCount val="1"/>
                <c:pt idx="0">
                  <c:v>Exist VRE GW</c:v>
                </c:pt>
              </c:strCache>
            </c:strRef>
          </c:tx>
          <c:spPr>
            <a:solidFill>
              <a:srgbClr val="6AAB9E"/>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Charts!$D$4:$D$29</c:f>
              <c:numCache>
                <c:formatCode>0.00</c:formatCode>
                <c:ptCount val="26"/>
                <c:pt idx="0">
                  <c:v>30</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30</c:v>
                </c:pt>
                <c:pt idx="23">
                  <c:v>30</c:v>
                </c:pt>
                <c:pt idx="24">
                  <c:v>30</c:v>
                </c:pt>
                <c:pt idx="25">
                  <c:v>30</c:v>
                </c:pt>
              </c:numCache>
            </c:numRef>
          </c:val>
          <c:extLst>
            <c:ext xmlns:c16="http://schemas.microsoft.com/office/drawing/2014/chart" uri="{C3380CC4-5D6E-409C-BE32-E72D297353CC}">
              <c16:uniqueId val="{00000002-FD00-48DB-8C3E-541A6CAD8CE7}"/>
            </c:ext>
          </c:extLst>
        </c:ser>
        <c:ser>
          <c:idx val="3"/>
          <c:order val="3"/>
          <c:tx>
            <c:strRef>
              <c:f>Charts!$E$3</c:f>
              <c:strCache>
                <c:ptCount val="1"/>
                <c:pt idx="0">
                  <c:v>Priv VRE cum</c:v>
                </c:pt>
              </c:strCache>
            </c:strRef>
          </c:tx>
          <c:spPr>
            <a:solidFill>
              <a:srgbClr val="A9D18E"/>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Charts!$E$4:$E$29</c:f>
              <c:numCache>
                <c:formatCode>0.00</c:formatCode>
                <c:ptCount val="26"/>
                <c:pt idx="0">
                  <c:v>0</c:v>
                </c:pt>
                <c:pt idx="1">
                  <c:v>0</c:v>
                </c:pt>
                <c:pt idx="2">
                  <c:v>0</c:v>
                </c:pt>
                <c:pt idx="3">
                  <c:v>0</c:v>
                </c:pt>
                <c:pt idx="4">
                  <c:v>0</c:v>
                </c:pt>
                <c:pt idx="5">
                  <c:v>0.76167405368943975</c:v>
                </c:pt>
                <c:pt idx="6">
                  <c:v>1.5751906651193792</c:v>
                </c:pt>
                <c:pt idx="7">
                  <c:v>2.6866710488492345</c:v>
                </c:pt>
                <c:pt idx="8">
                  <c:v>4.354531228377482</c:v>
                </c:pt>
                <c:pt idx="9">
                  <c:v>5.8617938130025991</c:v>
                </c:pt>
                <c:pt idx="10">
                  <c:v>8.2380396431614145</c:v>
                </c:pt>
                <c:pt idx="11">
                  <c:v>10.352224506634357</c:v>
                </c:pt>
                <c:pt idx="12">
                  <c:v>12.911017644357763</c:v>
                </c:pt>
                <c:pt idx="13">
                  <c:v>16.017271461539039</c:v>
                </c:pt>
                <c:pt idx="14">
                  <c:v>18.611166872290482</c:v>
                </c:pt>
                <c:pt idx="15">
                  <c:v>22.492240669101783</c:v>
                </c:pt>
                <c:pt idx="16">
                  <c:v>25.840514902545067</c:v>
                </c:pt>
                <c:pt idx="17">
                  <c:v>29.704057710284772</c:v>
                </c:pt>
                <c:pt idx="18">
                  <c:v>34.58431179033041</c:v>
                </c:pt>
                <c:pt idx="19">
                  <c:v>38.436360750542235</c:v>
                </c:pt>
                <c:pt idx="20">
                  <c:v>44.260785614560021</c:v>
                </c:pt>
                <c:pt idx="21">
                  <c:v>49.58240932463459</c:v>
                </c:pt>
                <c:pt idx="22">
                  <c:v>55.035086460425305</c:v>
                </c:pt>
                <c:pt idx="23">
                  <c:v>61.035086460425305</c:v>
                </c:pt>
                <c:pt idx="24">
                  <c:v>67.035086460425305</c:v>
                </c:pt>
                <c:pt idx="25">
                  <c:v>73.035086460425305</c:v>
                </c:pt>
              </c:numCache>
            </c:numRef>
          </c:val>
          <c:extLst>
            <c:ext xmlns:c16="http://schemas.microsoft.com/office/drawing/2014/chart" uri="{C3380CC4-5D6E-409C-BE32-E72D297353CC}">
              <c16:uniqueId val="{00000003-FD00-48DB-8C3E-541A6CAD8CE7}"/>
            </c:ext>
          </c:extLst>
        </c:ser>
        <c:ser>
          <c:idx val="4"/>
          <c:order val="4"/>
          <c:tx>
            <c:strRef>
              <c:f>Charts!$F$3</c:f>
              <c:strCache>
                <c:ptCount val="1"/>
                <c:pt idx="0">
                  <c:v>ESEM VRE cum</c:v>
                </c:pt>
              </c:strCache>
            </c:strRef>
          </c:tx>
          <c:spPr>
            <a:solidFill>
              <a:srgbClr val="4472C4"/>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Charts!$F$4:$F$29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4-FD00-48DB-8C3E-541A6CAD8CE7}"/>
            </c:ext>
          </c:extLst>
        </c:ser>
        <c:ser>
          <c:idx val="5"/>
          <c:order val="5"/>
          <c:tx>
            <c:strRef>
              <c:f>Charts!$G$3</c:f>
              <c:strCache>
                <c:ptCount val="1"/>
                <c:pt idx="0">
                  <c:v>ESEM Firm cum</c:v>
                </c:pt>
              </c:strCache>
            </c:strRef>
          </c:tx>
          <c:spPr>
            <a:solidFill>
              <a:srgbClr val="1F4E79"/>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Charts!$G$4:$G$29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5-FD00-48DB-8C3E-541A6CAD8CE7}"/>
            </c:ext>
          </c:extLst>
        </c:ser>
        <c:ser>
          <c:idx val="6"/>
          <c:order val="6"/>
          <c:tx>
            <c:strRef>
              <c:f>Charts!$H$3</c:f>
              <c:strCache>
                <c:ptCount val="1"/>
                <c:pt idx="0">
                  <c:v>Priv Firm cum</c:v>
                </c:pt>
              </c:strCache>
            </c:strRef>
          </c:tx>
          <c:spPr>
            <a:solidFill>
              <a:srgbClr val="C9C9C9"/>
            </a:solidFill>
            <a:ln w="0">
              <a:solidFill>
                <a:srgbClr val="000000"/>
              </a:solidFill>
              <a:prstDash val="soli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Charts!$H$4:$H$29</c:f>
              <c:numCache>
                <c:formatCode>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6-FD00-48DB-8C3E-541A6CAD8CE7}"/>
            </c:ext>
          </c:extLst>
        </c:ser>
        <c:dLbls>
          <c:showLegendKey val="0"/>
          <c:showVal val="0"/>
          <c:showCatName val="0"/>
          <c:showSerName val="0"/>
          <c:showPercent val="0"/>
          <c:showBubbleSize val="0"/>
        </c:dLbls>
        <c:gapWidth val="150"/>
        <c:overlap val="100"/>
        <c:axId val="57538503"/>
        <c:axId val="76350888"/>
      </c:barChart>
      <c:catAx>
        <c:axId val="57538503"/>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6350888"/>
        <c:crosses val="autoZero"/>
        <c:auto val="1"/>
        <c:lblAlgn val="ctr"/>
        <c:lblOffset val="100"/>
        <c:noMultiLvlLbl val="0"/>
      </c:catAx>
      <c:valAx>
        <c:axId val="76350888"/>
        <c:scaling>
          <c:orientation val="minMax"/>
        </c:scaling>
        <c:delete val="0"/>
        <c:axPos val="l"/>
        <c:majorGridlines>
          <c:spPr>
            <a:ln w="0">
              <a:solidFill>
                <a:srgbClr val="B3B3B3"/>
              </a:solidFill>
              <a:prstDash val="solid"/>
            </a:ln>
          </c:spPr>
        </c:majorGridlines>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57538503"/>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AU" sz="1800" b="1" strike="noStrike" spc="-1">
                <a:solidFill>
                  <a:srgbClr val="000000"/>
                </a:solidFill>
                <a:latin typeface="Calibri"/>
              </a:rPr>
              <a:t>ESEM Annual Net Cost ($m)</a:t>
            </a:r>
          </a:p>
        </c:rich>
      </c:tx>
      <c:overlay val="0"/>
      <c:spPr>
        <a:noFill/>
        <a:ln w="0">
          <a:noFill/>
          <a:prstDash val="solid"/>
        </a:ln>
      </c:spPr>
    </c:title>
    <c:autoTitleDeleted val="0"/>
    <c:plotArea>
      <c:layout/>
      <c:barChart>
        <c:barDir val="col"/>
        <c:grouping val="clustered"/>
        <c:varyColors val="0"/>
        <c:ser>
          <c:idx val="0"/>
          <c:order val="0"/>
          <c:tx>
            <c:strRef>
              <c:f>Charts!$O$3</c:f>
              <c:strCache>
                <c:ptCount val="1"/>
                <c:pt idx="0">
                  <c:v>NetCost $m</c:v>
                </c:pt>
              </c:strCache>
            </c:strRef>
          </c:tx>
          <c:spPr>
            <a:ln w="24840">
              <a:solidFill>
                <a:srgbClr val="1F4E79"/>
              </a:solidFill>
              <a:prstDash val="solid"/>
              <a:round/>
            </a:ln>
          </c:spPr>
          <c:invertIfNegative val="0"/>
          <c:dLbls>
            <c:spPr>
              <a:noFill/>
              <a:ln>
                <a:noFill/>
                <a:prstDash val="solid"/>
              </a:ln>
            </c:spPr>
            <c:txPr>
              <a:bodyPr wrap="square"/>
              <a:lstStyle/>
              <a:p>
                <a:pPr>
                  <a:defRPr sz="1000" b="0" strike="noStrike" spc="-1">
                    <a:solidFill>
                      <a:srgbClr val="00000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Charts!$O$4:$O$29</c:f>
              <c:numCache>
                <c:formatCode>#,##0.0</c:formatCode>
                <c:ptCount val="26"/>
                <c:pt idx="0">
                  <c:v>0</c:v>
                </c:pt>
                <c:pt idx="1">
                  <c:v>0</c:v>
                </c:pt>
                <c:pt idx="2">
                  <c:v>0</c:v>
                </c:pt>
                <c:pt idx="3">
                  <c:v>0</c:v>
                </c:pt>
                <c:pt idx="4">
                  <c:v>0</c:v>
                </c:pt>
                <c:pt idx="5">
                  <c:v>0</c:v>
                </c:pt>
                <c:pt idx="6">
                  <c:v>0</c:v>
                </c:pt>
                <c:pt idx="7">
                  <c:v>0</c:v>
                </c:pt>
                <c:pt idx="8">
                  <c:v>0</c:v>
                </c:pt>
                <c:pt idx="9">
                  <c:v>-21.423541715742402</c:v>
                </c:pt>
                <c:pt idx="10">
                  <c:v>-74.974678967606735</c:v>
                </c:pt>
                <c:pt idx="11">
                  <c:v>-99.256654817797752</c:v>
                </c:pt>
                <c:pt idx="12">
                  <c:v>-162.22693556131841</c:v>
                </c:pt>
                <c:pt idx="13">
                  <c:v>-240.50494432744648</c:v>
                </c:pt>
                <c:pt idx="14">
                  <c:v>-272.47784576693152</c:v>
                </c:pt>
                <c:pt idx="15">
                  <c:v>-371.2896512501701</c:v>
                </c:pt>
                <c:pt idx="16">
                  <c:v>-425.96480992561948</c:v>
                </c:pt>
                <c:pt idx="17">
                  <c:v>-468.11242589367924</c:v>
                </c:pt>
                <c:pt idx="18">
                  <c:v>-584.63712644934299</c:v>
                </c:pt>
                <c:pt idx="19">
                  <c:v>-589.34638228460449</c:v>
                </c:pt>
                <c:pt idx="20">
                  <c:v>-679.36920374293902</c:v>
                </c:pt>
                <c:pt idx="21">
                  <c:v>-761.84267259853607</c:v>
                </c:pt>
                <c:pt idx="22">
                  <c:v>-741.32080789866768</c:v>
                </c:pt>
                <c:pt idx="23">
                  <c:v>-891.47889150178912</c:v>
                </c:pt>
                <c:pt idx="24">
                  <c:v>-866.95686582034375</c:v>
                </c:pt>
                <c:pt idx="25">
                  <c:v>-911.32903441154804</c:v>
                </c:pt>
              </c:numCache>
            </c:numRef>
          </c:val>
          <c:extLst>
            <c:ext xmlns:c16="http://schemas.microsoft.com/office/drawing/2014/chart" uri="{C3380CC4-5D6E-409C-BE32-E72D297353CC}">
              <c16:uniqueId val="{00000000-17DD-4B01-A016-79A2947E85A9}"/>
            </c:ext>
          </c:extLst>
        </c:ser>
        <c:dLbls>
          <c:showLegendKey val="0"/>
          <c:showVal val="0"/>
          <c:showCatName val="0"/>
          <c:showSerName val="0"/>
          <c:showPercent val="0"/>
          <c:showBubbleSize val="0"/>
        </c:dLbls>
        <c:gapWidth val="150"/>
        <c:axId val="22392127"/>
        <c:axId val="60892902"/>
      </c:barChart>
      <c:catAx>
        <c:axId val="22392127"/>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60892902"/>
        <c:crosses val="autoZero"/>
        <c:auto val="1"/>
        <c:lblAlgn val="ctr"/>
        <c:lblOffset val="100"/>
        <c:noMultiLvlLbl val="0"/>
      </c:catAx>
      <c:valAx>
        <c:axId val="60892902"/>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AU" sz="1000" b="1" strike="noStrike" spc="-1">
                    <a:solidFill>
                      <a:srgbClr val="000000"/>
                    </a:solidFill>
                    <a:latin typeface="Calibri"/>
                  </a:rPr>
                  <a:t>$m</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22392127"/>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AU" sz="1800" b="1" strike="noStrike" spc="-1">
                <a:solidFill>
                  <a:srgbClr val="000000"/>
                </a:solidFill>
                <a:latin typeface="Calibri"/>
              </a:rPr>
              <a:t>Forward Price vs LRMC — Investment Signal ($/MWh)</a:t>
            </a:r>
          </a:p>
        </c:rich>
      </c:tx>
      <c:overlay val="0"/>
      <c:spPr>
        <a:noFill/>
        <a:ln w="0">
          <a:noFill/>
          <a:prstDash val="solid"/>
        </a:ln>
      </c:spPr>
    </c:title>
    <c:autoTitleDeleted val="0"/>
    <c:plotArea>
      <c:layout/>
      <c:lineChart>
        <c:grouping val="standard"/>
        <c:varyColors val="0"/>
        <c:ser>
          <c:idx val="0"/>
          <c:order val="0"/>
          <c:tx>
            <c:strRef>
              <c:f>Charts!$K$3</c:f>
              <c:strCache>
                <c:ptCount val="1"/>
                <c:pt idx="0">
                  <c:v>Fwd $/MWh</c:v>
                </c:pt>
              </c:strCache>
            </c:strRef>
          </c:tx>
          <c:spPr>
            <a:ln w="24840">
              <a:solidFill>
                <a:srgbClr val="1F4E7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Charts!$K$4:$K$29</c:f>
              <c:numCache>
                <c:formatCode>#,##0</c:formatCode>
                <c:ptCount val="26"/>
                <c:pt idx="0">
                  <c:v>112.22813980497169</c:v>
                </c:pt>
                <c:pt idx="1">
                  <c:v>110.10963416964606</c:v>
                </c:pt>
                <c:pt idx="2">
                  <c:v>112.52184995211167</c:v>
                </c:pt>
                <c:pt idx="3">
                  <c:v>97.523344004451374</c:v>
                </c:pt>
                <c:pt idx="4">
                  <c:v>94.861410642587586</c:v>
                </c:pt>
                <c:pt idx="5">
                  <c:v>99.808507866333798</c:v>
                </c:pt>
                <c:pt idx="6">
                  <c:v>95.86740833662509</c:v>
                </c:pt>
                <c:pt idx="7">
                  <c:v>94.206566264843246</c:v>
                </c:pt>
                <c:pt idx="8">
                  <c:v>91.569230604734528</c:v>
                </c:pt>
                <c:pt idx="9">
                  <c:v>89.308659630583264</c:v>
                </c:pt>
                <c:pt idx="10">
                  <c:v>89.090580595114403</c:v>
                </c:pt>
                <c:pt idx="11">
                  <c:v>87.401522550905298</c:v>
                </c:pt>
                <c:pt idx="12">
                  <c:v>87.413786594922698</c:v>
                </c:pt>
                <c:pt idx="13">
                  <c:v>86.439645831329841</c:v>
                </c:pt>
                <c:pt idx="14">
                  <c:v>85.136209116944144</c:v>
                </c:pt>
                <c:pt idx="15">
                  <c:v>85.533423326802819</c:v>
                </c:pt>
                <c:pt idx="16">
                  <c:v>83.507109683116539</c:v>
                </c:pt>
                <c:pt idx="17">
                  <c:v>83.725818335051187</c:v>
                </c:pt>
                <c:pt idx="18">
                  <c:v>82.83184382853122</c:v>
                </c:pt>
                <c:pt idx="19">
                  <c:v>81.141391621155989</c:v>
                </c:pt>
                <c:pt idx="20">
                  <c:v>81.676197107394685</c:v>
                </c:pt>
                <c:pt idx="21">
                  <c:v>79.128933443537392</c:v>
                </c:pt>
                <c:pt idx="22">
                  <c:v>78.922892585950365</c:v>
                </c:pt>
                <c:pt idx="23">
                  <c:v>78.115911550610022</c:v>
                </c:pt>
                <c:pt idx="24">
                  <c:v>77.399298497466205</c:v>
                </c:pt>
                <c:pt idx="25">
                  <c:v>76.570744197563215</c:v>
                </c:pt>
              </c:numCache>
            </c:numRef>
          </c:val>
          <c:smooth val="1"/>
          <c:extLst>
            <c:ext xmlns:c16="http://schemas.microsoft.com/office/drawing/2014/chart" uri="{C3380CC4-5D6E-409C-BE32-E72D297353CC}">
              <c16:uniqueId val="{00000000-F434-4AC5-88A6-56ADAC810F0C}"/>
            </c:ext>
          </c:extLst>
        </c:ser>
        <c:ser>
          <c:idx val="1"/>
          <c:order val="1"/>
          <c:tx>
            <c:strRef>
              <c:f>Charts!$L$3</c:f>
              <c:strCache>
                <c:ptCount val="1"/>
                <c:pt idx="0">
                  <c:v>LRMC $/MWh</c:v>
                </c:pt>
              </c:strCache>
            </c:strRef>
          </c:tx>
          <c:spPr>
            <a:ln w="24840">
              <a:solidFill>
                <a:srgbClr val="2E6FA3"/>
              </a:solidFill>
              <a:prstDash val="solid"/>
              <a:round/>
            </a:ln>
          </c:spPr>
          <c:marker>
            <c:symbol val="none"/>
          </c:marker>
          <c:dLbls>
            <c:spPr>
              <a:noFill/>
              <a:ln>
                <a:noFill/>
                <a:prstDash val="solid"/>
              </a:ln>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Charts!$L$4:$L$29</c:f>
              <c:numCache>
                <c:formatCode>#,##0.00</c:formatCode>
                <c:ptCount val="26"/>
                <c:pt idx="0">
                  <c:v>112.22813980497169</c:v>
                </c:pt>
                <c:pt idx="1">
                  <c:v>105.35894415992087</c:v>
                </c:pt>
                <c:pt idx="2">
                  <c:v>101.50142191230249</c:v>
                </c:pt>
                <c:pt idx="3">
                  <c:v>97.872067895639759</c:v>
                </c:pt>
                <c:pt idx="4">
                  <c:v>95.138253987219144</c:v>
                </c:pt>
                <c:pt idx="5">
                  <c:v>91.853256660461781</c:v>
                </c:pt>
                <c:pt idx="6">
                  <c:v>88.844945592806397</c:v>
                </c:pt>
                <c:pt idx="7">
                  <c:v>86.77536459303272</c:v>
                </c:pt>
                <c:pt idx="8">
                  <c:v>84.717967900599149</c:v>
                </c:pt>
                <c:pt idx="9">
                  <c:v>83.609140649209451</c:v>
                </c:pt>
                <c:pt idx="10">
                  <c:v>82.42139859641054</c:v>
                </c:pt>
                <c:pt idx="11">
                  <c:v>81.617483375149831</c:v>
                </c:pt>
                <c:pt idx="12">
                  <c:v>81.084066072951671</c:v>
                </c:pt>
                <c:pt idx="13">
                  <c:v>80.303330381926656</c:v>
                </c:pt>
                <c:pt idx="14">
                  <c:v>79.871236283269866</c:v>
                </c:pt>
                <c:pt idx="15">
                  <c:v>79.476180162069113</c:v>
                </c:pt>
                <c:pt idx="16">
                  <c:v>79.116979309846897</c:v>
                </c:pt>
                <c:pt idx="17">
                  <c:v>79.033770079112514</c:v>
                </c:pt>
                <c:pt idx="18">
                  <c:v>78.866960606486174</c:v>
                </c:pt>
                <c:pt idx="19">
                  <c:v>78.778221667485937</c:v>
                </c:pt>
                <c:pt idx="20">
                  <c:v>78.789538827448993</c:v>
                </c:pt>
                <c:pt idx="21">
                  <c:v>78.658402247516719</c:v>
                </c:pt>
                <c:pt idx="22">
                  <c:v>78.859676455312183</c:v>
                </c:pt>
                <c:pt idx="23">
                  <c:v>78.728065767046971</c:v>
                </c:pt>
                <c:pt idx="24">
                  <c:v>78.71521357372329</c:v>
                </c:pt>
                <c:pt idx="25">
                  <c:v>78.824378733195928</c:v>
                </c:pt>
              </c:numCache>
            </c:numRef>
          </c:val>
          <c:smooth val="1"/>
          <c:extLst>
            <c:ext xmlns:c16="http://schemas.microsoft.com/office/drawing/2014/chart" uri="{C3380CC4-5D6E-409C-BE32-E72D297353CC}">
              <c16:uniqueId val="{00000001-F434-4AC5-88A6-56ADAC810F0C}"/>
            </c:ext>
          </c:extLst>
        </c:ser>
        <c:dLbls>
          <c:showLegendKey val="0"/>
          <c:showVal val="0"/>
          <c:showCatName val="0"/>
          <c:showSerName val="0"/>
          <c:showPercent val="0"/>
          <c:showBubbleSize val="0"/>
        </c:dLbls>
        <c:hiLowLines>
          <c:spPr>
            <a:ln w="0">
              <a:noFill/>
              <a:prstDash val="solid"/>
            </a:ln>
          </c:spPr>
        </c:hiLowLines>
        <c:smooth val="0"/>
        <c:axId val="9133708"/>
        <c:axId val="4725792"/>
      </c:lineChart>
      <c:catAx>
        <c:axId val="9133708"/>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4725792"/>
        <c:crosses val="autoZero"/>
        <c:auto val="1"/>
        <c:lblAlgn val="ctr"/>
        <c:lblOffset val="100"/>
        <c:noMultiLvlLbl val="0"/>
      </c:catAx>
      <c:valAx>
        <c:axId val="4725792"/>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AU" sz="1000" b="1" strike="noStrike" spc="-1">
                    <a:solidFill>
                      <a:srgbClr val="000000"/>
                    </a:solidFill>
                    <a:latin typeface="Calibri"/>
                  </a:rPr>
                  <a:t>$/MWh</a:t>
                </a:r>
              </a:p>
            </c:rich>
          </c:tx>
          <c:overlay val="0"/>
          <c:spPr>
            <a:noFill/>
            <a:ln w="0">
              <a:noFill/>
              <a:prstDash val="solid"/>
            </a:ln>
          </c:spPr>
        </c:title>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9133708"/>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AU" sz="1800" b="1" strike="noStrike" spc="-1">
                <a:solidFill>
                  <a:srgbClr val="000000"/>
                </a:solidFill>
                <a:latin typeface="Calibri"/>
              </a:rPr>
              <a:t>Total System Capacity — ESEM vs Baseline (GW)</a:t>
            </a:r>
          </a:p>
        </c:rich>
      </c:tx>
      <c:overlay val="0"/>
      <c:spPr>
        <a:noFill/>
        <a:ln w="0">
          <a:noFill/>
          <a:prstDash val="solid"/>
        </a:ln>
      </c:spPr>
    </c:title>
    <c:autoTitleDeleted val="0"/>
    <c:plotArea>
      <c:layout/>
      <c:lineChart>
        <c:grouping val="standard"/>
        <c:varyColors val="0"/>
        <c:ser>
          <c:idx val="0"/>
          <c:order val="0"/>
          <c:tx>
            <c:strRef>
              <c:f>Charts!$U$3</c:f>
              <c:strCache>
                <c:ptCount val="1"/>
                <c:pt idx="0">
                  <c:v>Energy Bal TWh</c:v>
                </c:pt>
              </c:strCache>
            </c:strRef>
          </c:tx>
          <c:spPr>
            <a:ln w="24840">
              <a:solidFill>
                <a:srgbClr val="1F4E7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Charts!$U$4:$U$29</c:f>
              <c:numCache>
                <c:formatCode>#,##0.0</c:formatCode>
                <c:ptCount val="26"/>
                <c:pt idx="0">
                  <c:v>-3.034860000000009</c:v>
                </c:pt>
                <c:pt idx="1">
                  <c:v>-6.9002270171677935</c:v>
                </c:pt>
                <c:pt idx="2">
                  <c:v>0.33903055887668643</c:v>
                </c:pt>
                <c:pt idx="3">
                  <c:v>0.2834760456733818</c:v>
                </c:pt>
                <c:pt idx="4">
                  <c:v>-6.0894642434645334</c:v>
                </c:pt>
                <c:pt idx="5">
                  <c:v>-5.7514469585661914</c:v>
                </c:pt>
                <c:pt idx="6">
                  <c:v>-6.3337635248530262</c:v>
                </c:pt>
                <c:pt idx="7">
                  <c:v>-6.1680260843938299</c:v>
                </c:pt>
                <c:pt idx="8">
                  <c:v>-5.4177144994888522</c:v>
                </c:pt>
                <c:pt idx="9">
                  <c:v>-6.483460927227128</c:v>
                </c:pt>
                <c:pt idx="10">
                  <c:v>-5.8964117756141547</c:v>
                </c:pt>
                <c:pt idx="11">
                  <c:v>-6.5956585362796147</c:v>
                </c:pt>
                <c:pt idx="12">
                  <c:v>-6.6317802969096533</c:v>
                </c:pt>
                <c:pt idx="13">
                  <c:v>-5.9449534691503345</c:v>
                </c:pt>
                <c:pt idx="14">
                  <c:v>-6.9511030726834804</c:v>
                </c:pt>
                <c:pt idx="15">
                  <c:v>-5.3319144828457183</c:v>
                </c:pt>
                <c:pt idx="16">
                  <c:v>-5.8165688855522149</c:v>
                </c:pt>
                <c:pt idx="17">
                  <c:v>-5.1116930552038298</c:v>
                </c:pt>
                <c:pt idx="18">
                  <c:v>-3.2176950562895286</c:v>
                </c:pt>
                <c:pt idx="19">
                  <c:v>-3.9896460919389938</c:v>
                </c:pt>
                <c:pt idx="20">
                  <c:v>-0.6990944275174229</c:v>
                </c:pt>
                <c:pt idx="21">
                  <c:v>-9.6816700330975891E-2</c:v>
                </c:pt>
                <c:pt idx="22">
                  <c:v>1.2215003098486363</c:v>
                </c:pt>
                <c:pt idx="23">
                  <c:v>2.7363411388705003</c:v>
                </c:pt>
                <c:pt idx="24">
                  <c:v>4.906728716956593</c:v>
                </c:pt>
                <c:pt idx="25">
                  <c:v>6.8551743021144489</c:v>
                </c:pt>
              </c:numCache>
            </c:numRef>
          </c:val>
          <c:smooth val="1"/>
          <c:extLst>
            <c:ext xmlns:c16="http://schemas.microsoft.com/office/drawing/2014/chart" uri="{C3380CC4-5D6E-409C-BE32-E72D297353CC}">
              <c16:uniqueId val="{00000000-6918-4A5B-8EDB-0D5BBCD2D339}"/>
            </c:ext>
          </c:extLst>
        </c:ser>
        <c:ser>
          <c:idx val="1"/>
          <c:order val="1"/>
          <c:tx>
            <c:strRef>
              <c:f>Charts!$AF$3</c:f>
              <c:strCache>
                <c:ptCount val="1"/>
                <c:pt idx="0">
                  <c:v>Bline Cons Price</c:v>
                </c:pt>
              </c:strCache>
            </c:strRef>
          </c:tx>
          <c:spPr>
            <a:ln w="18000">
              <a:solidFill>
                <a:srgbClr val="FF999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Charts!$AF$4:$AF$29</c:f>
              <c:numCache>
                <c:formatCode>#,##0.0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1"/>
          <c:extLst>
            <c:ext xmlns:c16="http://schemas.microsoft.com/office/drawing/2014/chart" uri="{C3380CC4-5D6E-409C-BE32-E72D297353CC}">
              <c16:uniqueId val="{00000001-6918-4A5B-8EDB-0D5BBCD2D339}"/>
            </c:ext>
          </c:extLst>
        </c:ser>
        <c:dLbls>
          <c:showLegendKey val="0"/>
          <c:showVal val="0"/>
          <c:showCatName val="0"/>
          <c:showSerName val="0"/>
          <c:showPercent val="0"/>
          <c:showBubbleSize val="0"/>
        </c:dLbls>
        <c:hiLowLines>
          <c:spPr>
            <a:ln w="0">
              <a:noFill/>
              <a:prstDash val="solid"/>
            </a:ln>
          </c:spPr>
        </c:hiLowLines>
        <c:smooth val="0"/>
        <c:axId val="59449280"/>
        <c:axId val="6661460"/>
      </c:lineChart>
      <c:catAx>
        <c:axId val="59449280"/>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6661460"/>
        <c:crosses val="autoZero"/>
        <c:auto val="1"/>
        <c:lblAlgn val="ctr"/>
        <c:lblOffset val="100"/>
        <c:noMultiLvlLbl val="0"/>
      </c:catAx>
      <c:valAx>
        <c:axId val="6661460"/>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AU" sz="1000" b="1" strike="noStrike" spc="-1">
                    <a:solidFill>
                      <a:srgbClr val="000000"/>
                    </a:solidFill>
                    <a:latin typeface="Calibri"/>
                  </a:rPr>
                  <a:t>GW</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59449280"/>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AU" sz="1800" b="1" strike="noStrike" spc="-1">
                <a:solidFill>
                  <a:srgbClr val="000000"/>
                </a:solidFill>
                <a:latin typeface="Calibri"/>
              </a:rPr>
              <a:t>Firming Adequacy Balance — ESEM vs Baseline (GW, 0 = adequate)</a:t>
            </a:r>
          </a:p>
        </c:rich>
      </c:tx>
      <c:layout>
        <c:manualLayout>
          <c:xMode val="edge"/>
          <c:yMode val="edge"/>
          <c:x val="0.1573487220988225"/>
          <c:y val="2.953788911157286E-2"/>
        </c:manualLayout>
      </c:layout>
      <c:overlay val="0"/>
      <c:spPr>
        <a:noFill/>
        <a:ln w="0">
          <a:noFill/>
          <a:prstDash val="solid"/>
        </a:ln>
      </c:spPr>
    </c:title>
    <c:autoTitleDeleted val="0"/>
    <c:plotArea>
      <c:layout/>
      <c:lineChart>
        <c:grouping val="standard"/>
        <c:varyColors val="0"/>
        <c:ser>
          <c:idx val="0"/>
          <c:order val="0"/>
          <c:tx>
            <c:strRef>
              <c:f>Charts!$T$3</c:f>
              <c:strCache>
                <c:ptCount val="1"/>
                <c:pt idx="0">
                  <c:v>VRE Online GW</c:v>
                </c:pt>
              </c:strCache>
            </c:strRef>
          </c:tx>
          <c:spPr>
            <a:ln w="24840">
              <a:solidFill>
                <a:srgbClr val="1F4E7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Charts!$T$4:$T$29</c:f>
              <c:numCache>
                <c:formatCode>#,##0.0</c:formatCode>
                <c:ptCount val="26"/>
                <c:pt idx="0">
                  <c:v>35</c:v>
                </c:pt>
                <c:pt idx="1">
                  <c:v>36.187672502431298</c:v>
                </c:pt>
                <c:pt idx="2">
                  <c:v>41.942779512383595</c:v>
                </c:pt>
                <c:pt idx="3">
                  <c:v>44.942779512383595</c:v>
                </c:pt>
                <c:pt idx="4">
                  <c:v>44.942779512383595</c:v>
                </c:pt>
                <c:pt idx="5">
                  <c:v>47.693266367541035</c:v>
                </c:pt>
                <c:pt idx="6">
                  <c:v>50.262398664925648</c:v>
                </c:pt>
                <c:pt idx="7">
                  <c:v>53.231679466608135</c:v>
                </c:pt>
                <c:pt idx="8">
                  <c:v>56.612355322170231</c:v>
                </c:pt>
                <c:pt idx="9">
                  <c:v>59.544497652138801</c:v>
                </c:pt>
                <c:pt idx="10">
                  <c:v>63.588038981973583</c:v>
                </c:pt>
                <c:pt idx="11">
                  <c:v>67.148233639385381</c:v>
                </c:pt>
                <c:pt idx="12">
                  <c:v>71.289456907601547</c:v>
                </c:pt>
                <c:pt idx="13">
                  <c:v>75.929789587133627</c:v>
                </c:pt>
                <c:pt idx="14">
                  <c:v>79.83992820630364</c:v>
                </c:pt>
                <c:pt idx="15">
                  <c:v>85.235312794298366</c:v>
                </c:pt>
                <c:pt idx="16">
                  <c:v>89.681119621059054</c:v>
                </c:pt>
                <c:pt idx="17">
                  <c:v>94.717674492783431</c:v>
                </c:pt>
                <c:pt idx="18">
                  <c:v>100.58914937834034</c:v>
                </c:pt>
                <c:pt idx="19">
                  <c:v>105.03199082696966</c:v>
                </c:pt>
                <c:pt idx="20">
                  <c:v>111.57808026097388</c:v>
                </c:pt>
                <c:pt idx="21">
                  <c:v>117.01733677005362</c:v>
                </c:pt>
                <c:pt idx="22">
                  <c:v>122.48581793850387</c:v>
                </c:pt>
                <c:pt idx="23">
                  <c:v>128.48581793850389</c:v>
                </c:pt>
                <c:pt idx="24">
                  <c:v>134.48581793850389</c:v>
                </c:pt>
                <c:pt idx="25">
                  <c:v>140.48581793850389</c:v>
                </c:pt>
              </c:numCache>
            </c:numRef>
          </c:val>
          <c:smooth val="1"/>
          <c:extLst>
            <c:ext xmlns:c16="http://schemas.microsoft.com/office/drawing/2014/chart" uri="{C3380CC4-5D6E-409C-BE32-E72D297353CC}">
              <c16:uniqueId val="{00000000-9D44-4D66-BC53-1E018425D64C}"/>
            </c:ext>
          </c:extLst>
        </c:ser>
        <c:dLbls>
          <c:showLegendKey val="0"/>
          <c:showVal val="0"/>
          <c:showCatName val="0"/>
          <c:showSerName val="0"/>
          <c:showPercent val="0"/>
          <c:showBubbleSize val="0"/>
        </c:dLbls>
        <c:hiLowLines>
          <c:spPr>
            <a:ln w="0">
              <a:noFill/>
              <a:prstDash val="solid"/>
            </a:ln>
          </c:spPr>
        </c:hiLowLines>
        <c:smooth val="0"/>
        <c:axId val="70191913"/>
        <c:axId val="10333180"/>
      </c:lineChart>
      <c:catAx>
        <c:axId val="70191913"/>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10333180"/>
        <c:crosses val="autoZero"/>
        <c:auto val="1"/>
        <c:lblAlgn val="ctr"/>
        <c:lblOffset val="100"/>
        <c:noMultiLvlLbl val="0"/>
      </c:catAx>
      <c:valAx>
        <c:axId val="10333180"/>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AU" sz="1000" b="1" strike="noStrike" spc="-1">
                    <a:solidFill>
                      <a:srgbClr val="000000"/>
                    </a:solidFill>
                    <a:latin typeface="Calibri"/>
                  </a:rPr>
                  <a:t>GW</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0191913"/>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AU" sz="1800" b="1" strike="noStrike" spc="-1">
                <a:solidFill>
                  <a:srgbClr val="000000"/>
                </a:solidFill>
                <a:latin typeface="Calibri"/>
              </a:rPr>
              <a:t>True Consumer Price — ESEM vs Baseline ($/MWh)</a:t>
            </a:r>
          </a:p>
        </c:rich>
      </c:tx>
      <c:overlay val="0"/>
      <c:spPr>
        <a:noFill/>
        <a:ln w="0">
          <a:noFill/>
          <a:prstDash val="solid"/>
        </a:ln>
      </c:spPr>
    </c:title>
    <c:autoTitleDeleted val="0"/>
    <c:plotArea>
      <c:layout/>
      <c:lineChart>
        <c:grouping val="standard"/>
        <c:varyColors val="0"/>
        <c:ser>
          <c:idx val="0"/>
          <c:order val="0"/>
          <c:tx>
            <c:strRef>
              <c:f>Charts!$M$3</c:f>
              <c:strCache>
                <c:ptCount val="1"/>
                <c:pt idx="0">
                  <c:v>Consumer_E</c:v>
                </c:pt>
              </c:strCache>
            </c:strRef>
          </c:tx>
          <c:spPr>
            <a:ln w="24840">
              <a:solidFill>
                <a:srgbClr val="1F4E7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Charts!$M$4:$M$29</c:f>
              <c:numCache>
                <c:formatCode>0.00\×</c:formatCode>
                <c:ptCount val="26"/>
                <c:pt idx="0">
                  <c:v>0</c:v>
                </c:pt>
                <c:pt idx="1">
                  <c:v>0</c:v>
                </c:pt>
                <c:pt idx="2">
                  <c:v>-3.6999999999999998E-2</c:v>
                </c:pt>
                <c:pt idx="3">
                  <c:v>-7.3999999999999996E-2</c:v>
                </c:pt>
                <c:pt idx="4">
                  <c:v>-0.11099999999999999</c:v>
                </c:pt>
                <c:pt idx="5">
                  <c:v>-0.14799999999999999</c:v>
                </c:pt>
                <c:pt idx="6">
                  <c:v>-0.185</c:v>
                </c:pt>
                <c:pt idx="7">
                  <c:v>-0.222</c:v>
                </c:pt>
                <c:pt idx="8">
                  <c:v>-0.25900000000000001</c:v>
                </c:pt>
                <c:pt idx="9">
                  <c:v>-0.31786307303768746</c:v>
                </c:pt>
                <c:pt idx="10">
                  <c:v>-0.4304155133278425</c:v>
                </c:pt>
                <c:pt idx="11">
                  <c:v>-0.56784985471846805</c:v>
                </c:pt>
                <c:pt idx="12">
                  <c:v>-0.76830470364882752</c:v>
                </c:pt>
                <c:pt idx="13">
                  <c:v>-1.0476960093232353</c:v>
                </c:pt>
                <c:pt idx="14">
                  <c:v>-1.3606317672373778</c:v>
                </c:pt>
                <c:pt idx="15">
                  <c:v>-1.7718427425737766</c:v>
                </c:pt>
                <c:pt idx="16">
                  <c:v>-2.2415700093481266</c:v>
                </c:pt>
                <c:pt idx="17">
                  <c:v>-2.7534676090527959</c:v>
                </c:pt>
                <c:pt idx="18">
                  <c:v>-3.3848825158756952</c:v>
                </c:pt>
                <c:pt idx="19">
                  <c:v>-4.0272830504033292</c:v>
                </c:pt>
                <c:pt idx="20">
                  <c:v>-4.7594775237324063</c:v>
                </c:pt>
                <c:pt idx="21">
                  <c:v>-5.5866644203072191</c:v>
                </c:pt>
                <c:pt idx="22">
                  <c:v>-6.3978854044815732</c:v>
                </c:pt>
                <c:pt idx="23">
                  <c:v>-7.3678051275826606</c:v>
                </c:pt>
                <c:pt idx="24">
                  <c:v>-8.3237382175106305</c:v>
                </c:pt>
                <c:pt idx="25">
                  <c:v>-9.3351314162842378</c:v>
                </c:pt>
              </c:numCache>
            </c:numRef>
          </c:val>
          <c:smooth val="1"/>
          <c:extLst>
            <c:ext xmlns:c16="http://schemas.microsoft.com/office/drawing/2014/chart" uri="{C3380CC4-5D6E-409C-BE32-E72D297353CC}">
              <c16:uniqueId val="{00000000-8D5E-4423-9B7F-255231227539}"/>
            </c:ext>
          </c:extLst>
        </c:ser>
        <c:ser>
          <c:idx val="1"/>
          <c:order val="1"/>
          <c:tx>
            <c:strRef>
              <c:f>Charts!$AD$3</c:f>
              <c:strCache>
                <c:ptCount val="1"/>
                <c:pt idx="0">
                  <c:v>Bline VRE Online</c:v>
                </c:pt>
              </c:strCache>
            </c:strRef>
          </c:tx>
          <c:spPr>
            <a:ln w="18000">
              <a:solidFill>
                <a:srgbClr val="FF9999"/>
              </a:solidFill>
              <a:prstDash val="solid"/>
              <a:round/>
            </a:ln>
          </c:spPr>
          <c:marker>
            <c:symbol val="none"/>
          </c:marker>
          <c:dLbls>
            <c:spPr>
              <a:noFill/>
              <a:ln>
                <a:noFill/>
                <a:prstDash val="solid"/>
              </a:ln>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Charts!$A$4:$A$29</c:f>
              <c:strCache>
                <c:ptCount val="26"/>
                <c:pt idx="0">
                  <c:v>Yr 1</c:v>
                </c:pt>
                <c:pt idx="1">
                  <c:v>Yr 2</c:v>
                </c:pt>
                <c:pt idx="2">
                  <c:v>Yr 3</c:v>
                </c:pt>
                <c:pt idx="3">
                  <c:v>Yr 4</c:v>
                </c:pt>
                <c:pt idx="4">
                  <c:v>Yr 5</c:v>
                </c:pt>
                <c:pt idx="5">
                  <c:v>Yr 6</c:v>
                </c:pt>
                <c:pt idx="6">
                  <c:v>Yr 7</c:v>
                </c:pt>
                <c:pt idx="7">
                  <c:v>Yr 8</c:v>
                </c:pt>
                <c:pt idx="8">
                  <c:v>Yr 9</c:v>
                </c:pt>
                <c:pt idx="9">
                  <c:v>Yr 10</c:v>
                </c:pt>
                <c:pt idx="10">
                  <c:v>Yr 11</c:v>
                </c:pt>
                <c:pt idx="11">
                  <c:v>Yr 12</c:v>
                </c:pt>
                <c:pt idx="12">
                  <c:v>Yr 13</c:v>
                </c:pt>
                <c:pt idx="13">
                  <c:v>Yr 14</c:v>
                </c:pt>
                <c:pt idx="14">
                  <c:v>Yr 15</c:v>
                </c:pt>
                <c:pt idx="15">
                  <c:v>Yr 16</c:v>
                </c:pt>
                <c:pt idx="16">
                  <c:v>Yr 17</c:v>
                </c:pt>
                <c:pt idx="17">
                  <c:v>Yr 18</c:v>
                </c:pt>
                <c:pt idx="18">
                  <c:v>Yr 19</c:v>
                </c:pt>
                <c:pt idx="19">
                  <c:v>Yr 20</c:v>
                </c:pt>
                <c:pt idx="20">
                  <c:v>Yr 21</c:v>
                </c:pt>
                <c:pt idx="21">
                  <c:v>Yr 22</c:v>
                </c:pt>
                <c:pt idx="22">
                  <c:v>Yr 23</c:v>
                </c:pt>
                <c:pt idx="23">
                  <c:v>Yr 24</c:v>
                </c:pt>
                <c:pt idx="24">
                  <c:v>Yr 25</c:v>
                </c:pt>
                <c:pt idx="25">
                  <c:v>Yr 26</c:v>
                </c:pt>
              </c:strCache>
            </c:strRef>
          </c:cat>
          <c:val>
            <c:numRef>
              <c:f>Charts!$AD$4:$AD$29</c:f>
              <c:numCache>
                <c:formatCode>\$#,##0.0</c:formatCode>
                <c:ptCount val="26"/>
                <c:pt idx="0">
                  <c:v>33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smooth val="1"/>
          <c:extLst>
            <c:ext xmlns:c16="http://schemas.microsoft.com/office/drawing/2014/chart" uri="{C3380CC4-5D6E-409C-BE32-E72D297353CC}">
              <c16:uniqueId val="{00000001-8D5E-4423-9B7F-255231227539}"/>
            </c:ext>
          </c:extLst>
        </c:ser>
        <c:dLbls>
          <c:showLegendKey val="0"/>
          <c:showVal val="0"/>
          <c:showCatName val="0"/>
          <c:showSerName val="0"/>
          <c:showPercent val="0"/>
          <c:showBubbleSize val="0"/>
        </c:dLbls>
        <c:hiLowLines>
          <c:spPr>
            <a:ln w="0">
              <a:noFill/>
              <a:prstDash val="solid"/>
            </a:ln>
          </c:spPr>
        </c:hiLowLines>
        <c:smooth val="0"/>
        <c:axId val="7957167"/>
        <c:axId val="61742330"/>
      </c:lineChart>
      <c:catAx>
        <c:axId val="7957167"/>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61742330"/>
        <c:crosses val="autoZero"/>
        <c:auto val="1"/>
        <c:lblAlgn val="ctr"/>
        <c:lblOffset val="100"/>
        <c:noMultiLvlLbl val="0"/>
      </c:catAx>
      <c:valAx>
        <c:axId val="61742330"/>
        <c:scaling>
          <c:orientation val="minMax"/>
        </c:scaling>
        <c:delete val="0"/>
        <c:axPos val="l"/>
        <c:majorGridlines>
          <c:spPr>
            <a:ln w="0">
              <a:solidFill>
                <a:srgbClr val="B3B3B3"/>
              </a:solidFill>
              <a:prstDash val="solid"/>
            </a:ln>
          </c:spPr>
        </c:majorGridlines>
        <c:title>
          <c:tx>
            <c:rich>
              <a:bodyPr rot="-5400000"/>
              <a:lstStyle/>
              <a:p>
                <a:pPr>
                  <a:defRPr sz="1000" b="1" strike="noStrike" spc="-1">
                    <a:solidFill>
                      <a:srgbClr val="000000"/>
                    </a:solidFill>
                    <a:latin typeface="Calibri"/>
                  </a:defRPr>
                </a:pPr>
                <a:r>
                  <a:rPr lang="en-AU" sz="1000" b="1" strike="noStrike" spc="-1">
                    <a:solidFill>
                      <a:srgbClr val="000000"/>
                    </a:solidFill>
                    <a:latin typeface="Calibri"/>
                  </a:rPr>
                  <a:t>$/MWh</a:t>
                </a:r>
              </a:p>
            </c:rich>
          </c:tx>
          <c:overlay val="0"/>
          <c:spPr>
            <a:noFill/>
            <a:ln w="0">
              <a:noFill/>
              <a:prstDash val="solid"/>
            </a:ln>
          </c:spPr>
        </c:title>
        <c:numFmt formatCode="\$#,##0.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7957167"/>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AU" sz="1800" b="1" strike="noStrike" spc="-1">
                <a:solidFill>
                  <a:srgbClr val="000000"/>
                </a:solidFill>
                <a:latin typeface="Calibri"/>
              </a:rPr>
              <a:t>Baseline (No ESEM) — Capacity Stack (GW)</a:t>
            </a:r>
          </a:p>
        </c:rich>
      </c:tx>
      <c:overlay val="0"/>
      <c:spPr>
        <a:noFill/>
        <a:ln w="0">
          <a:noFill/>
          <a:prstDash val="solid"/>
        </a:ln>
      </c:spPr>
    </c:title>
    <c:autoTitleDeleted val="0"/>
    <c:plotArea>
      <c:layout>
        <c:manualLayout>
          <c:layoutTarget val="inner"/>
          <c:xMode val="edge"/>
          <c:yMode val="edge"/>
          <c:x val="4.9652948785253087E-2"/>
          <c:y val="0.1081418291276551"/>
          <c:w val="0.93660030524270588"/>
          <c:h val="0.78118056191777796"/>
        </c:manualLayout>
      </c:layout>
      <c:barChart>
        <c:barDir val="col"/>
        <c:grouping val="stacked"/>
        <c:varyColors val="0"/>
        <c:ser>
          <c:idx val="0"/>
          <c:order val="0"/>
          <c:tx>
            <c:strRef>
              <c:f>Charts!$V$3</c:f>
              <c:strCache>
                <c:ptCount val="1"/>
                <c:pt idx="0">
                  <c:v>Settled VRE GW</c:v>
                </c:pt>
              </c:strCache>
            </c:strRef>
          </c:tx>
          <c:spPr>
            <a:ln>
              <a:solidFill>
                <a:schemeClr val="tx1"/>
              </a:solidFill>
              <a:prstDash val="solid"/>
            </a:ln>
          </c:spPr>
          <c:invertIfNegative val="0"/>
          <c:val>
            <c:numRef>
              <c:f>Charts!$V$4:$V$29</c:f>
              <c:numCache>
                <c:formatCode>#,##0.0</c:formatCode>
                <c:ptCount val="26"/>
                <c:pt idx="0">
                  <c:v>0</c:v>
                </c:pt>
                <c:pt idx="1">
                  <c:v>0</c:v>
                </c:pt>
                <c:pt idx="2">
                  <c:v>0</c:v>
                </c:pt>
                <c:pt idx="3">
                  <c:v>0</c:v>
                </c:pt>
                <c:pt idx="4">
                  <c:v>0</c:v>
                </c:pt>
                <c:pt idx="5">
                  <c:v>0</c:v>
                </c:pt>
                <c:pt idx="6">
                  <c:v>0</c:v>
                </c:pt>
                <c:pt idx="7">
                  <c:v>0</c:v>
                </c:pt>
                <c:pt idx="8">
                  <c:v>71.727633263246645</c:v>
                </c:pt>
                <c:pt idx="9">
                  <c:v>140.38569866866459</c:v>
                </c:pt>
                <c:pt idx="10">
                  <c:v>229.14443146152951</c:v>
                </c:pt>
                <c:pt idx="11">
                  <c:v>358.94193612197842</c:v>
                </c:pt>
                <c:pt idx="12">
                  <c:v>462.41108932258112</c:v>
                </c:pt>
                <c:pt idx="13">
                  <c:v>633.96096678518097</c:v>
                </c:pt>
                <c:pt idx="14">
                  <c:v>766.77097103636584</c:v>
                </c:pt>
                <c:pt idx="15">
                  <c:v>927.95854649633543</c:v>
                </c:pt>
                <c:pt idx="16">
                  <c:v>1124.0107076434119</c:v>
                </c:pt>
                <c:pt idx="17">
                  <c:v>1257.5456973374298</c:v>
                </c:pt>
                <c:pt idx="18">
                  <c:v>1496.291433357839</c:v>
                </c:pt>
                <c:pt idx="19">
                  <c:v>1666.4860037160263</c:v>
                </c:pt>
                <c:pt idx="20">
                  <c:v>1870.2933134357149</c:v>
                </c:pt>
                <c:pt idx="21">
                  <c:v>2152.7316099154514</c:v>
                </c:pt>
                <c:pt idx="22">
                  <c:v>2317.0076813193286</c:v>
                </c:pt>
                <c:pt idx="23">
                  <c:v>2655.726115792605</c:v>
                </c:pt>
                <c:pt idx="24">
                  <c:v>2918.7674279888301</c:v>
                </c:pt>
                <c:pt idx="25">
                  <c:v>3175.435800735936</c:v>
                </c:pt>
              </c:numCache>
            </c:numRef>
          </c:val>
          <c:extLst>
            <c:ext xmlns:c16="http://schemas.microsoft.com/office/drawing/2014/chart" uri="{C3380CC4-5D6E-409C-BE32-E72D297353CC}">
              <c16:uniqueId val="{00000000-16B7-4306-BAF6-2016A8830D87}"/>
            </c:ext>
          </c:extLst>
        </c:ser>
        <c:ser>
          <c:idx val="1"/>
          <c:order val="1"/>
          <c:tx>
            <c:strRef>
              <c:f>Charts!$W$3</c:f>
              <c:strCache>
                <c:ptCount val="1"/>
                <c:pt idx="0">
                  <c:v>Settled Firm GW</c:v>
                </c:pt>
              </c:strCache>
            </c:strRef>
          </c:tx>
          <c:spPr>
            <a:ln>
              <a:solidFill>
                <a:schemeClr val="tx1"/>
              </a:solidFill>
              <a:prstDash val="solid"/>
            </a:ln>
          </c:spPr>
          <c:invertIfNegative val="0"/>
          <c:val>
            <c:numRef>
              <c:f>Charts!$W$4:$W$29</c:f>
              <c:numCache>
                <c:formatCode>#,##0</c:formatCode>
                <c:ptCount val="26"/>
                <c:pt idx="0">
                  <c:v>112.22813980497169</c:v>
                </c:pt>
                <c:pt idx="1">
                  <c:v>105.35894415992087</c:v>
                </c:pt>
                <c:pt idx="2">
                  <c:v>101.50142191230249</c:v>
                </c:pt>
                <c:pt idx="3">
                  <c:v>97.872067895639759</c:v>
                </c:pt>
                <c:pt idx="4">
                  <c:v>95.138253987219144</c:v>
                </c:pt>
                <c:pt idx="5">
                  <c:v>91.853256660461781</c:v>
                </c:pt>
                <c:pt idx="6">
                  <c:v>88.844945592806397</c:v>
                </c:pt>
                <c:pt idx="7">
                  <c:v>86.77536459303272</c:v>
                </c:pt>
                <c:pt idx="8">
                  <c:v>94.171034073969423</c:v>
                </c:pt>
                <c:pt idx="9">
                  <c:v>92.566046396774027</c:v>
                </c:pt>
                <c:pt idx="10">
                  <c:v>91.241013874565724</c:v>
                </c:pt>
                <c:pt idx="11">
                  <c:v>90.048554470856857</c:v>
                </c:pt>
                <c:pt idx="12">
                  <c:v>89.152663872164695</c:v>
                </c:pt>
                <c:pt idx="13">
                  <c:v>88.492601789658366</c:v>
                </c:pt>
                <c:pt idx="14">
                  <c:v>87.860836144153097</c:v>
                </c:pt>
                <c:pt idx="15">
                  <c:v>87.422971936230113</c:v>
                </c:pt>
                <c:pt idx="16">
                  <c:v>87.10336202040763</c:v>
                </c:pt>
                <c:pt idx="17">
                  <c:v>86.693888114258968</c:v>
                </c:pt>
                <c:pt idx="18">
                  <c:v>86.636834911817189</c:v>
                </c:pt>
                <c:pt idx="19">
                  <c:v>86.388528887009485</c:v>
                </c:pt>
                <c:pt idx="20">
                  <c:v>86.306977491997472</c:v>
                </c:pt>
                <c:pt idx="21">
                  <c:v>86.512214785790022</c:v>
                </c:pt>
                <c:pt idx="22">
                  <c:v>86.386253219637894</c:v>
                </c:pt>
                <c:pt idx="23">
                  <c:v>86.837473829788692</c:v>
                </c:pt>
                <c:pt idx="24">
                  <c:v>86.992802984235539</c:v>
                </c:pt>
                <c:pt idx="25">
                  <c:v>87.180738209605451</c:v>
                </c:pt>
              </c:numCache>
            </c:numRef>
          </c:val>
          <c:extLst>
            <c:ext xmlns:c16="http://schemas.microsoft.com/office/drawing/2014/chart" uri="{C3380CC4-5D6E-409C-BE32-E72D297353CC}">
              <c16:uniqueId val="{00000001-16B7-4306-BAF6-2016A8830D87}"/>
            </c:ext>
          </c:extLst>
        </c:ser>
        <c:ser>
          <c:idx val="2"/>
          <c:order val="2"/>
          <c:tx>
            <c:strRef>
              <c:f>Charts!$X$3</c:f>
              <c:strCache>
                <c:ptCount val="1"/>
                <c:pt idx="0">
                  <c:v>Firming Bal GW</c:v>
                </c:pt>
              </c:strCache>
            </c:strRef>
          </c:tx>
          <c:spPr>
            <a:ln>
              <a:solidFill>
                <a:schemeClr val="tx1"/>
              </a:solidFill>
              <a:prstDash val="solid"/>
            </a:ln>
          </c:spPr>
          <c:invertIfNegative val="0"/>
          <c:val>
            <c:numRef>
              <c:f>Charts!$X$4:$X$29</c:f>
              <c:numCache>
                <c:formatCode>#,##0</c:formatCode>
                <c:ptCount val="26"/>
                <c:pt idx="0">
                  <c:v>3.5348714999999942</c:v>
                </c:pt>
                <c:pt idx="1">
                  <c:v>2.6771420122699681</c:v>
                </c:pt>
                <c:pt idx="2">
                  <c:v>2.2308697021541022</c:v>
                </c:pt>
                <c:pt idx="3">
                  <c:v>1.5189257146541024</c:v>
                </c:pt>
                <c:pt idx="4">
                  <c:v>0.51832722746660664</c:v>
                </c:pt>
                <c:pt idx="5">
                  <c:v>-0.2397912514738465</c:v>
                </c:pt>
                <c:pt idx="6">
                  <c:v>-0.83253280474698244</c:v>
                </c:pt>
                <c:pt idx="7">
                  <c:v>-1.0954343089994723</c:v>
                </c:pt>
                <c:pt idx="8">
                  <c:v>-1.6284743944274709</c:v>
                </c:pt>
                <c:pt idx="9">
                  <c:v>-1.9839382808836703</c:v>
                </c:pt>
                <c:pt idx="10">
                  <c:v>-2.1248938132436166</c:v>
                </c:pt>
                <c:pt idx="11">
                  <c:v>-2.6854013325387029</c:v>
                </c:pt>
                <c:pt idx="12">
                  <c:v>-2.5188649600140138</c:v>
                </c:pt>
                <c:pt idx="13">
                  <c:v>-2.7709709878958719</c:v>
                </c:pt>
                <c:pt idx="14">
                  <c:v>-3.121878780862545</c:v>
                </c:pt>
                <c:pt idx="15">
                  <c:v>-2.6631625278721529</c:v>
                </c:pt>
                <c:pt idx="16">
                  <c:v>-3.3468508857251251</c:v>
                </c:pt>
                <c:pt idx="17">
                  <c:v>-3.0658234401973985</c:v>
                </c:pt>
                <c:pt idx="18">
                  <c:v>-2.9004669204540861</c:v>
                </c:pt>
                <c:pt idx="19">
                  <c:v>-3.6794995191684094</c:v>
                </c:pt>
                <c:pt idx="20">
                  <c:v>-2.7008778433246974</c:v>
                </c:pt>
                <c:pt idx="21">
                  <c:v>-3.4197263617548188</c:v>
                </c:pt>
                <c:pt idx="22">
                  <c:v>-3.4481262405086923</c:v>
                </c:pt>
                <c:pt idx="23">
                  <c:v>-2.6496221873108681</c:v>
                </c:pt>
                <c:pt idx="24">
                  <c:v>-3.6836684143521126</c:v>
                </c:pt>
                <c:pt idx="25">
                  <c:v>-3.0299645198425438</c:v>
                </c:pt>
              </c:numCache>
            </c:numRef>
          </c:val>
          <c:extLst>
            <c:ext xmlns:c16="http://schemas.microsoft.com/office/drawing/2014/chart" uri="{C3380CC4-5D6E-409C-BE32-E72D297353CC}">
              <c16:uniqueId val="{00000002-16B7-4306-BAF6-2016A8830D87}"/>
            </c:ext>
          </c:extLst>
        </c:ser>
        <c:ser>
          <c:idx val="3"/>
          <c:order val="3"/>
          <c:tx>
            <c:strRef>
              <c:f>Charts!$Y$3</c:f>
              <c:strCache>
                <c:ptCount val="1"/>
                <c:pt idx="0">
                  <c:v>WS Baseline</c:v>
                </c:pt>
              </c:strCache>
            </c:strRef>
          </c:tx>
          <c:spPr>
            <a:ln>
              <a:solidFill>
                <a:schemeClr val="tx1"/>
              </a:solidFill>
              <a:prstDash val="solid"/>
            </a:ln>
          </c:spPr>
          <c:invertIfNegative val="0"/>
          <c:val>
            <c:numRef>
              <c:f>Charts!$Y$4:$Y$29</c:f>
              <c:numCache>
                <c:formatCode>#,##0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16B7-4306-BAF6-2016A8830D87}"/>
            </c:ext>
          </c:extLst>
        </c:ser>
        <c:ser>
          <c:idx val="4"/>
          <c:order val="4"/>
          <c:tx>
            <c:strRef>
              <c:f>Charts!$Z$3</c:f>
              <c:strCache>
                <c:ptCount val="1"/>
                <c:pt idx="0">
                  <c:v>ESEM VRE ann</c:v>
                </c:pt>
              </c:strCache>
            </c:strRef>
          </c:tx>
          <c:spPr>
            <a:ln>
              <a:solidFill>
                <a:schemeClr val="tx1"/>
              </a:solidFill>
              <a:prstDash val="solid"/>
            </a:ln>
          </c:spPr>
          <c:invertIfNegative val="0"/>
          <c:val>
            <c:numRef>
              <c:f>Charts!$Z$4:$Z$29</c:f>
              <c:numCache>
                <c:formatCode>General</c:formatCode>
                <c:ptCount val="26"/>
                <c:pt idx="0" formatCode="#,##0">
                  <c:v>0</c:v>
                </c:pt>
                <c:pt idx="1">
                  <c:v>0</c:v>
                </c:pt>
                <c:pt idx="2" formatCode="#,##0">
                  <c:v>0</c:v>
                </c:pt>
                <c:pt idx="3" formatCode="#,##0">
                  <c:v>0</c:v>
                </c:pt>
                <c:pt idx="4" formatCode="#,##0">
                  <c:v>0</c:v>
                </c:pt>
                <c:pt idx="5" formatCode="#,##0">
                  <c:v>0.2397912514738465</c:v>
                </c:pt>
                <c:pt idx="6" formatCode="#,##0">
                  <c:v>0.83253280474698244</c:v>
                </c:pt>
                <c:pt idx="7" formatCode="#,##0">
                  <c:v>1.0954343089994723</c:v>
                </c:pt>
                <c:pt idx="8" formatCode="#,##0">
                  <c:v>1.6284743944274709</c:v>
                </c:pt>
                <c:pt idx="9" formatCode="#,##0">
                  <c:v>1.9839382808836703</c:v>
                </c:pt>
                <c:pt idx="10" formatCode="#,##0">
                  <c:v>2.1248938132436166</c:v>
                </c:pt>
                <c:pt idx="11" formatCode="#,##0">
                  <c:v>2.6854013325387029</c:v>
                </c:pt>
                <c:pt idx="12" formatCode="#,##0">
                  <c:v>2.5188649600140138</c:v>
                </c:pt>
                <c:pt idx="13" formatCode="#,##0">
                  <c:v>2.7709709878958719</c:v>
                </c:pt>
                <c:pt idx="14" formatCode="#,##0">
                  <c:v>3.121878780862545</c:v>
                </c:pt>
                <c:pt idx="15" formatCode="#,##0">
                  <c:v>2.6631625278721529</c:v>
                </c:pt>
                <c:pt idx="16" formatCode="#,##0">
                  <c:v>3.3468508857251251</c:v>
                </c:pt>
                <c:pt idx="17" formatCode="#,##0">
                  <c:v>3.0658234401973985</c:v>
                </c:pt>
                <c:pt idx="18" formatCode="#,##0">
                  <c:v>2.9004669204540861</c:v>
                </c:pt>
                <c:pt idx="19" formatCode="#,##0">
                  <c:v>3.6794995191684094</c:v>
                </c:pt>
                <c:pt idx="20" formatCode="#,##0">
                  <c:v>2.7008778433246974</c:v>
                </c:pt>
                <c:pt idx="21" formatCode="#,##0">
                  <c:v>3.4197263617548188</c:v>
                </c:pt>
                <c:pt idx="22" formatCode="#,##0">
                  <c:v>3.4481262405086923</c:v>
                </c:pt>
                <c:pt idx="23" formatCode="#,##0">
                  <c:v>2.6496221873108681</c:v>
                </c:pt>
                <c:pt idx="24" formatCode="#,##0">
                  <c:v>3.6836684143521126</c:v>
                </c:pt>
                <c:pt idx="25" formatCode="#,##0">
                  <c:v>3.0299645198425438</c:v>
                </c:pt>
              </c:numCache>
            </c:numRef>
          </c:val>
          <c:extLst>
            <c:ext xmlns:c16="http://schemas.microsoft.com/office/drawing/2014/chart" uri="{C3380CC4-5D6E-409C-BE32-E72D297353CC}">
              <c16:uniqueId val="{00000004-16B7-4306-BAF6-2016A8830D87}"/>
            </c:ext>
          </c:extLst>
        </c:ser>
        <c:dLbls>
          <c:showLegendKey val="0"/>
          <c:showVal val="0"/>
          <c:showCatName val="0"/>
          <c:showSerName val="0"/>
          <c:showPercent val="0"/>
          <c:showBubbleSize val="0"/>
        </c:dLbls>
        <c:gapWidth val="150"/>
        <c:overlap val="100"/>
        <c:axId val="61794910"/>
        <c:axId val="8771689"/>
      </c:barChart>
      <c:catAx>
        <c:axId val="61794910"/>
        <c:scaling>
          <c:orientation val="minMax"/>
        </c:scaling>
        <c:delete val="0"/>
        <c:axPos val="b"/>
        <c:numFmt formatCode="General"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8771689"/>
        <c:crosses val="autoZero"/>
        <c:auto val="1"/>
        <c:lblAlgn val="ctr"/>
        <c:lblOffset val="100"/>
        <c:noMultiLvlLbl val="0"/>
      </c:catAx>
      <c:valAx>
        <c:axId val="8771689"/>
        <c:scaling>
          <c:orientation val="minMax"/>
        </c:scaling>
        <c:delete val="0"/>
        <c:axPos val="l"/>
        <c:majorGridlines>
          <c:spPr>
            <a:ln w="0">
              <a:solidFill>
                <a:srgbClr val="B3B3B3"/>
              </a:solidFill>
              <a:prstDash val="solid"/>
            </a:ln>
          </c:spPr>
        </c:majorGridlines>
        <c:numFmt formatCode="#,##0" sourceLinked="0"/>
        <c:majorTickMark val="none"/>
        <c:minorTickMark val="none"/>
        <c:tickLblPos val="nextTo"/>
        <c:spPr>
          <a:ln w="0">
            <a:solidFill>
              <a:srgbClr val="B3B3B3"/>
            </a:solidFill>
            <a:prstDash val="solid"/>
          </a:ln>
        </c:spPr>
        <c:txPr>
          <a:bodyPr/>
          <a:lstStyle/>
          <a:p>
            <a:pPr>
              <a:defRPr sz="1000" b="0" strike="noStrike" spc="-1">
                <a:solidFill>
                  <a:srgbClr val="000000"/>
                </a:solidFill>
                <a:latin typeface="Calibri"/>
              </a:defRPr>
            </a:pPr>
            <a:endParaRPr lang="en-US"/>
          </a:p>
        </c:txPr>
        <c:crossAx val="61794910"/>
        <c:crosses val="autoZero"/>
        <c:crossBetween val="between"/>
      </c:valAx>
    </c:plotArea>
    <c:legend>
      <c:legendPos val="b"/>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20</xdr:col>
      <xdr:colOff>172459</xdr:colOff>
      <xdr:row>37</xdr:row>
      <xdr:rowOff>159758</xdr:rowOff>
    </xdr:from>
    <xdr:to>
      <xdr:col>36</xdr:col>
      <xdr:colOff>196939</xdr:colOff>
      <xdr:row>65</xdr:row>
      <xdr:rowOff>42238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35</xdr:col>
      <xdr:colOff>111128</xdr:colOff>
      <xdr:row>69</xdr:row>
      <xdr:rowOff>23280</xdr:rowOff>
    </xdr:from>
    <xdr:to>
      <xdr:col>50</xdr:col>
      <xdr:colOff>499908</xdr:colOff>
      <xdr:row>92</xdr:row>
      <xdr:rowOff>96830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173182</xdr:colOff>
      <xdr:row>73</xdr:row>
      <xdr:rowOff>134100</xdr:rowOff>
    </xdr:from>
    <xdr:to>
      <xdr:col>16</xdr:col>
      <xdr:colOff>197662</xdr:colOff>
      <xdr:row>96</xdr:row>
      <xdr:rowOff>79020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26483</xdr:colOff>
      <xdr:row>41</xdr:row>
      <xdr:rowOff>111835</xdr:rowOff>
    </xdr:from>
    <xdr:to>
      <xdr:col>19</xdr:col>
      <xdr:colOff>51323</xdr:colOff>
      <xdr:row>64</xdr:row>
      <xdr:rowOff>56755</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336176</xdr:colOff>
      <xdr:row>98</xdr:row>
      <xdr:rowOff>117849</xdr:rowOff>
    </xdr:from>
    <xdr:to>
      <xdr:col>16</xdr:col>
      <xdr:colOff>360656</xdr:colOff>
      <xdr:row>121</xdr:row>
      <xdr:rowOff>63130</xdr:rowOff>
    </xdr:to>
    <xdr:graphicFrame macro="">
      <xdr:nvGraphicFramePr>
        <xdr:cNvPr id="6" name="Chart 5">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244438</xdr:colOff>
      <xdr:row>94</xdr:row>
      <xdr:rowOff>157480</xdr:rowOff>
    </xdr:from>
    <xdr:to>
      <xdr:col>36</xdr:col>
      <xdr:colOff>271818</xdr:colOff>
      <xdr:row>117</xdr:row>
      <xdr:rowOff>107840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37</xdr:col>
      <xdr:colOff>238125</xdr:colOff>
      <xdr:row>36</xdr:row>
      <xdr:rowOff>127000</xdr:rowOff>
    </xdr:from>
    <xdr:to>
      <xdr:col>52</xdr:col>
      <xdr:colOff>342340</xdr:colOff>
      <xdr:row>64</xdr:row>
      <xdr:rowOff>86835</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
  <sheetViews>
    <sheetView showGridLines="0" topLeftCell="A63" workbookViewId="0">
      <selection activeCell="C65" sqref="C65"/>
    </sheetView>
  </sheetViews>
  <sheetFormatPr defaultRowHeight="15"/>
  <cols>
    <col min="1" max="1" width="16.7109375" bestFit="1" customWidth="1"/>
    <col min="2" max="2" width="52" customWidth="1"/>
    <col min="3" max="3" width="14" customWidth="1"/>
    <col min="4" max="4" width="10" customWidth="1"/>
    <col min="5" max="5" width="22" customWidth="1"/>
    <col min="6" max="7" width="10" customWidth="1"/>
    <col min="8" max="8" width="14.140625" bestFit="1" customWidth="1"/>
    <col min="9" max="12" width="12" customWidth="1"/>
  </cols>
  <sheetData>
    <row r="1" spans="1:12">
      <c r="A1" s="104" t="s">
        <v>0</v>
      </c>
      <c r="B1" s="102"/>
      <c r="C1" s="102"/>
      <c r="D1" s="102"/>
      <c r="E1" s="102"/>
      <c r="F1" s="102"/>
      <c r="G1" s="102"/>
      <c r="H1" s="102"/>
      <c r="I1" s="102"/>
      <c r="J1" s="102"/>
      <c r="K1" s="102"/>
      <c r="L1" s="102"/>
    </row>
    <row r="2" spans="1:12">
      <c r="A2" s="103"/>
      <c r="B2" s="102"/>
      <c r="C2" s="102"/>
      <c r="D2" s="102"/>
      <c r="E2" s="102"/>
      <c r="F2" s="102"/>
      <c r="G2" s="102"/>
      <c r="H2" s="102"/>
      <c r="I2" s="102"/>
      <c r="J2" s="102"/>
      <c r="K2" s="102"/>
      <c r="L2" s="102"/>
    </row>
    <row r="3" spans="1:12">
      <c r="A3" s="47" t="s">
        <v>1</v>
      </c>
      <c r="B3" s="47" t="s">
        <v>2</v>
      </c>
      <c r="C3" s="47" t="s">
        <v>3</v>
      </c>
      <c r="D3" s="47" t="s">
        <v>4</v>
      </c>
      <c r="E3" s="47" t="s">
        <v>5</v>
      </c>
      <c r="F3" s="47" t="s">
        <v>6</v>
      </c>
      <c r="G3" s="47" t="s">
        <v>7</v>
      </c>
      <c r="H3" t="s">
        <v>8</v>
      </c>
      <c r="I3" s="47" t="s">
        <v>9</v>
      </c>
      <c r="J3" s="47" t="s">
        <v>10</v>
      </c>
      <c r="K3" s="47" t="s">
        <v>11</v>
      </c>
      <c r="L3" s="47" t="s">
        <v>12</v>
      </c>
    </row>
    <row r="4" spans="1:12" ht="18" customHeight="1">
      <c r="A4" s="48" t="s">
        <v>13</v>
      </c>
      <c r="B4" s="66" t="s">
        <v>14</v>
      </c>
      <c r="C4" s="49">
        <v>1</v>
      </c>
      <c r="H4" t="str">
        <f>CHOOSE($C$4,"Scenario A","Scenario B","Scenario C","Scenario D")</f>
        <v>Scenario A</v>
      </c>
    </row>
    <row r="6" spans="1:12" ht="16.149999999999999" customHeight="1">
      <c r="A6" s="101" t="s">
        <v>15</v>
      </c>
      <c r="B6" s="102"/>
      <c r="C6" s="102"/>
      <c r="D6" s="102"/>
      <c r="E6" s="102"/>
      <c r="F6" s="102"/>
      <c r="G6" s="102"/>
      <c r="H6" s="102"/>
      <c r="I6" s="102"/>
      <c r="J6" s="102"/>
      <c r="K6" s="102"/>
      <c r="L6" s="102"/>
    </row>
    <row r="7" spans="1:12" ht="18" customHeight="1">
      <c r="A7" s="48" t="s">
        <v>16</v>
      </c>
      <c r="B7" s="51" t="s">
        <v>17</v>
      </c>
      <c r="C7" s="52">
        <f t="shared" ref="C7:C12" si="0">CHOOSE($C$4,I7,J7,K7,L7)</f>
        <v>180</v>
      </c>
      <c r="D7" s="46" t="s">
        <v>18</v>
      </c>
      <c r="E7" s="46" t="s">
        <v>19</v>
      </c>
      <c r="F7" s="53">
        <v>160</v>
      </c>
      <c r="G7" s="53">
        <v>200</v>
      </c>
      <c r="I7" s="54">
        <v>180</v>
      </c>
      <c r="J7" s="54">
        <v>180</v>
      </c>
      <c r="K7" s="54">
        <v>180</v>
      </c>
      <c r="L7" s="54">
        <v>180</v>
      </c>
    </row>
    <row r="8" spans="1:12" ht="18" customHeight="1">
      <c r="A8" s="48" t="s">
        <v>20</v>
      </c>
      <c r="B8" s="51" t="s">
        <v>21</v>
      </c>
      <c r="C8" s="52">
        <f t="shared" si="0"/>
        <v>2.5000000000000001E-2</v>
      </c>
      <c r="D8" s="46" t="s">
        <v>22</v>
      </c>
      <c r="E8" s="46" t="s">
        <v>23</v>
      </c>
      <c r="F8" s="53">
        <v>0.01</v>
      </c>
      <c r="G8" s="53">
        <v>0.04</v>
      </c>
      <c r="I8" s="54">
        <v>2.5000000000000001E-2</v>
      </c>
      <c r="J8" s="54">
        <v>2.5000000000000001E-2</v>
      </c>
      <c r="K8" s="54">
        <v>2.5000000000000001E-2</v>
      </c>
      <c r="L8" s="54">
        <v>2.5000000000000001E-2</v>
      </c>
    </row>
    <row r="9" spans="1:12" ht="18" customHeight="1">
      <c r="A9" s="48" t="s">
        <v>24</v>
      </c>
      <c r="B9" s="51" t="s">
        <v>25</v>
      </c>
      <c r="C9" s="52">
        <f t="shared" si="0"/>
        <v>36</v>
      </c>
      <c r="D9" s="46" t="s">
        <v>26</v>
      </c>
      <c r="E9" s="46" t="s">
        <v>19</v>
      </c>
      <c r="F9" s="53">
        <v>30</v>
      </c>
      <c r="G9" s="53">
        <v>42</v>
      </c>
      <c r="I9" s="54">
        <v>36</v>
      </c>
      <c r="J9" s="54">
        <v>36</v>
      </c>
      <c r="K9" s="54">
        <v>36</v>
      </c>
      <c r="L9" s="54">
        <v>36</v>
      </c>
    </row>
    <row r="10" spans="1:12" ht="18" customHeight="1">
      <c r="A10" s="48" t="s">
        <v>27</v>
      </c>
      <c r="B10" s="51" t="s">
        <v>28</v>
      </c>
      <c r="C10" s="52">
        <f t="shared" si="0"/>
        <v>0.02</v>
      </c>
      <c r="D10" s="46" t="s">
        <v>22</v>
      </c>
      <c r="E10" s="46" t="s">
        <v>29</v>
      </c>
      <c r="F10" s="53">
        <v>0.01</v>
      </c>
      <c r="G10" s="53">
        <v>0.03</v>
      </c>
      <c r="I10" s="54">
        <v>0.02</v>
      </c>
      <c r="J10" s="54">
        <v>0.02</v>
      </c>
      <c r="K10" s="54">
        <v>0.02</v>
      </c>
      <c r="L10" s="54">
        <v>0.02</v>
      </c>
    </row>
    <row r="11" spans="1:12" ht="18" hidden="1" customHeight="1">
      <c r="A11" s="48" t="s">
        <v>30</v>
      </c>
      <c r="B11" s="51" t="s">
        <v>31</v>
      </c>
      <c r="C11" s="52">
        <f t="shared" si="0"/>
        <v>0</v>
      </c>
      <c r="D11" s="46" t="s">
        <v>26</v>
      </c>
      <c r="E11" s="46"/>
      <c r="F11" s="53">
        <v>0</v>
      </c>
      <c r="G11" s="53">
        <v>0</v>
      </c>
      <c r="I11" s="54">
        <v>0</v>
      </c>
      <c r="J11" s="54">
        <v>0</v>
      </c>
      <c r="K11" s="54">
        <v>0</v>
      </c>
      <c r="L11" s="54">
        <v>0</v>
      </c>
    </row>
    <row r="12" spans="1:12" ht="18" customHeight="1">
      <c r="A12" s="48" t="s">
        <v>32</v>
      </c>
      <c r="B12" s="51" t="s">
        <v>33</v>
      </c>
      <c r="C12" s="52">
        <f t="shared" si="0"/>
        <v>3</v>
      </c>
      <c r="D12" s="46" t="s">
        <v>26</v>
      </c>
      <c r="E12" s="46" t="s">
        <v>19</v>
      </c>
      <c r="F12" s="53">
        <v>0</v>
      </c>
      <c r="G12" s="53">
        <v>5</v>
      </c>
      <c r="I12" s="54">
        <v>3</v>
      </c>
      <c r="J12" s="54">
        <v>3</v>
      </c>
      <c r="K12" s="54">
        <v>3</v>
      </c>
      <c r="L12" s="54">
        <v>3</v>
      </c>
    </row>
    <row r="13" spans="1:12" ht="16.149999999999999" customHeight="1">
      <c r="A13" s="101" t="s">
        <v>34</v>
      </c>
      <c r="B13" s="102"/>
      <c r="C13" s="102"/>
      <c r="D13" s="102"/>
      <c r="E13" s="102"/>
      <c r="F13" s="102"/>
      <c r="G13" s="102"/>
      <c r="H13" s="102"/>
      <c r="I13" s="102"/>
      <c r="J13" s="102"/>
      <c r="K13" s="102"/>
      <c r="L13" s="102"/>
    </row>
    <row r="14" spans="1:12" ht="18" customHeight="1">
      <c r="A14" s="48" t="s">
        <v>35</v>
      </c>
      <c r="B14" s="51" t="s">
        <v>36</v>
      </c>
      <c r="C14" s="52">
        <f t="shared" ref="C14:C19" si="1">CHOOSE($C$4,I14,J14,K14,L14)</f>
        <v>22</v>
      </c>
      <c r="D14" s="46" t="s">
        <v>26</v>
      </c>
      <c r="E14" s="46" t="s">
        <v>19</v>
      </c>
      <c r="F14" s="53">
        <v>15</v>
      </c>
      <c r="G14" s="53">
        <v>25</v>
      </c>
      <c r="I14" s="54">
        <v>22</v>
      </c>
      <c r="J14" s="54">
        <v>22</v>
      </c>
      <c r="K14" s="54">
        <v>22</v>
      </c>
      <c r="L14" s="54">
        <v>22</v>
      </c>
    </row>
    <row r="15" spans="1:12" ht="18" customHeight="1">
      <c r="A15" s="48" t="s">
        <v>37</v>
      </c>
      <c r="B15" s="51" t="s">
        <v>38</v>
      </c>
      <c r="C15" s="52">
        <f t="shared" si="1"/>
        <v>0.45</v>
      </c>
      <c r="D15" s="46" t="s">
        <v>39</v>
      </c>
      <c r="E15" s="46" t="s">
        <v>19</v>
      </c>
      <c r="F15" s="53">
        <v>0.4</v>
      </c>
      <c r="G15" s="53">
        <v>0.5</v>
      </c>
      <c r="I15" s="54">
        <v>0.45</v>
      </c>
      <c r="J15" s="54">
        <v>0.45</v>
      </c>
      <c r="K15" s="54">
        <v>0.45</v>
      </c>
      <c r="L15" s="54">
        <v>0.45</v>
      </c>
    </row>
    <row r="16" spans="1:12" ht="18" customHeight="1">
      <c r="A16" s="48" t="s">
        <v>40</v>
      </c>
      <c r="B16" s="51" t="s">
        <v>41</v>
      </c>
      <c r="C16" s="52">
        <f t="shared" si="1"/>
        <v>0.75</v>
      </c>
      <c r="D16" s="46" t="s">
        <v>39</v>
      </c>
      <c r="E16" s="46" t="s">
        <v>29</v>
      </c>
      <c r="F16" s="53">
        <v>0.65</v>
      </c>
      <c r="G16" s="53">
        <v>0.85</v>
      </c>
      <c r="I16" s="54">
        <v>0.75</v>
      </c>
      <c r="J16" s="54">
        <v>0.75</v>
      </c>
      <c r="K16" s="54">
        <v>0.75</v>
      </c>
      <c r="L16" s="54">
        <v>0.75</v>
      </c>
    </row>
    <row r="17" spans="1:12" ht="18" customHeight="1">
      <c r="A17" s="48" t="s">
        <v>42</v>
      </c>
      <c r="B17" s="51" t="s">
        <v>43</v>
      </c>
      <c r="C17" s="52">
        <f t="shared" si="1"/>
        <v>80</v>
      </c>
      <c r="D17" s="46" t="s">
        <v>44</v>
      </c>
      <c r="E17" s="46" t="s">
        <v>19</v>
      </c>
      <c r="F17" s="53">
        <v>60</v>
      </c>
      <c r="G17" s="53">
        <v>120</v>
      </c>
      <c r="I17" s="54">
        <v>80</v>
      </c>
      <c r="J17" s="54">
        <v>80</v>
      </c>
      <c r="K17" s="54">
        <v>80</v>
      </c>
      <c r="L17" s="54">
        <v>80</v>
      </c>
    </row>
    <row r="18" spans="1:12" ht="18" customHeight="1">
      <c r="A18" s="48" t="s">
        <v>45</v>
      </c>
      <c r="B18" s="51" t="s">
        <v>46</v>
      </c>
      <c r="C18" s="52">
        <f t="shared" si="1"/>
        <v>0.04</v>
      </c>
      <c r="D18" s="46" t="s">
        <v>22</v>
      </c>
      <c r="E18" s="46" t="s">
        <v>29</v>
      </c>
      <c r="F18" s="53">
        <v>0.02</v>
      </c>
      <c r="G18" s="53">
        <v>7.0000000000000007E-2</v>
      </c>
      <c r="I18" s="54">
        <v>0.04</v>
      </c>
      <c r="J18" s="54">
        <v>0.04</v>
      </c>
      <c r="K18" s="54">
        <v>0.04</v>
      </c>
      <c r="L18" s="54">
        <v>0.04</v>
      </c>
    </row>
    <row r="19" spans="1:12" ht="18" customHeight="1">
      <c r="A19" s="48" t="s">
        <v>47</v>
      </c>
      <c r="B19" s="51" t="s">
        <v>48</v>
      </c>
      <c r="C19" s="52">
        <f t="shared" si="1"/>
        <v>0.15</v>
      </c>
      <c r="D19" s="46" t="s">
        <v>39</v>
      </c>
      <c r="E19" s="46" t="s">
        <v>49</v>
      </c>
      <c r="F19" s="53">
        <v>0.05</v>
      </c>
      <c r="G19" s="53">
        <v>0.3</v>
      </c>
      <c r="I19" s="54">
        <v>0.15</v>
      </c>
      <c r="J19" s="54">
        <v>0.15</v>
      </c>
      <c r="K19" s="54">
        <v>0.15</v>
      </c>
      <c r="L19" s="54">
        <v>0.15</v>
      </c>
    </row>
    <row r="20" spans="1:12" ht="16.149999999999999" customHeight="1">
      <c r="A20" s="101" t="s">
        <v>50</v>
      </c>
      <c r="B20" s="102"/>
      <c r="C20" s="102"/>
      <c r="D20" s="102"/>
      <c r="E20" s="102"/>
      <c r="F20" s="102"/>
      <c r="G20" s="102"/>
      <c r="H20" s="102"/>
      <c r="I20" s="102"/>
      <c r="J20" s="102"/>
      <c r="K20" s="102"/>
      <c r="L20" s="102"/>
    </row>
    <row r="21" spans="1:12" ht="18" customHeight="1">
      <c r="A21" s="48" t="s">
        <v>51</v>
      </c>
      <c r="B21" s="51" t="s">
        <v>52</v>
      </c>
      <c r="C21" s="52">
        <f t="shared" ref="C21:C26" si="2">CHOOSE($C$4,I21,J21,K21,L21)</f>
        <v>22</v>
      </c>
      <c r="D21" s="46" t="s">
        <v>26</v>
      </c>
      <c r="E21" s="46" t="s">
        <v>19</v>
      </c>
      <c r="F21" s="53">
        <v>15</v>
      </c>
      <c r="G21" s="53">
        <v>28</v>
      </c>
      <c r="I21" s="54">
        <v>22</v>
      </c>
      <c r="J21" s="54">
        <v>22</v>
      </c>
      <c r="K21" s="54">
        <v>22</v>
      </c>
      <c r="L21" s="54">
        <v>22</v>
      </c>
    </row>
    <row r="22" spans="1:12" ht="18" customHeight="1">
      <c r="A22" s="48" t="s">
        <v>53</v>
      </c>
      <c r="B22" s="51" t="s">
        <v>54</v>
      </c>
      <c r="C22" s="52">
        <f t="shared" si="2"/>
        <v>0</v>
      </c>
      <c r="D22" s="46" t="s">
        <v>22</v>
      </c>
      <c r="E22" s="46" t="s">
        <v>29</v>
      </c>
      <c r="F22" s="53">
        <v>0</v>
      </c>
      <c r="G22" s="53">
        <v>0.05</v>
      </c>
      <c r="I22" s="54">
        <v>0</v>
      </c>
      <c r="J22" s="54">
        <v>0</v>
      </c>
      <c r="K22" s="54">
        <v>0</v>
      </c>
      <c r="L22" s="54">
        <v>0</v>
      </c>
    </row>
    <row r="23" spans="1:12" ht="18" customHeight="1">
      <c r="A23" s="48" t="s">
        <v>55</v>
      </c>
      <c r="B23" s="51" t="s">
        <v>56</v>
      </c>
      <c r="C23" s="52">
        <f t="shared" si="2"/>
        <v>0.22</v>
      </c>
      <c r="D23" s="46" t="s">
        <v>39</v>
      </c>
      <c r="E23" s="46" t="s">
        <v>29</v>
      </c>
      <c r="F23" s="53">
        <v>0.15</v>
      </c>
      <c r="G23" s="53">
        <v>0.3</v>
      </c>
      <c r="I23" s="54">
        <v>0.22</v>
      </c>
      <c r="J23" s="54">
        <v>0.22</v>
      </c>
      <c r="K23" s="54">
        <v>0.22</v>
      </c>
      <c r="L23" s="54">
        <v>0.22</v>
      </c>
    </row>
    <row r="24" spans="1:12" ht="18" customHeight="1">
      <c r="A24" s="48" t="s">
        <v>57</v>
      </c>
      <c r="B24" s="51" t="s">
        <v>58</v>
      </c>
      <c r="C24" s="52">
        <f t="shared" si="2"/>
        <v>0.9</v>
      </c>
      <c r="D24" s="46" t="s">
        <v>39</v>
      </c>
      <c r="E24" s="46" t="s">
        <v>29</v>
      </c>
      <c r="F24" s="53">
        <v>0.8</v>
      </c>
      <c r="G24" s="53">
        <v>1</v>
      </c>
      <c r="I24" s="54">
        <v>0.9</v>
      </c>
      <c r="J24" s="54">
        <v>0.9</v>
      </c>
      <c r="K24" s="54">
        <v>0.9</v>
      </c>
      <c r="L24" s="54">
        <v>0.9</v>
      </c>
    </row>
    <row r="25" spans="1:12" ht="18" customHeight="1">
      <c r="A25" s="48" t="s">
        <v>59</v>
      </c>
      <c r="B25" s="51" t="s">
        <v>60</v>
      </c>
      <c r="C25" s="52">
        <f t="shared" si="2"/>
        <v>180</v>
      </c>
      <c r="D25" s="46" t="s">
        <v>44</v>
      </c>
      <c r="E25" s="46" t="s">
        <v>29</v>
      </c>
      <c r="F25" s="53">
        <v>120</v>
      </c>
      <c r="G25" s="53">
        <v>250</v>
      </c>
      <c r="I25" s="54">
        <v>180</v>
      </c>
      <c r="J25" s="54">
        <v>180</v>
      </c>
      <c r="K25" s="54">
        <v>180</v>
      </c>
      <c r="L25" s="54">
        <v>180</v>
      </c>
    </row>
    <row r="26" spans="1:12" ht="18" customHeight="1">
      <c r="A26" s="72" t="s">
        <v>61</v>
      </c>
      <c r="B26" s="67" t="s">
        <v>62</v>
      </c>
      <c r="C26" s="52">
        <f t="shared" si="2"/>
        <v>120</v>
      </c>
      <c r="D26" s="46" t="s">
        <v>44</v>
      </c>
      <c r="E26" s="46" t="s">
        <v>29</v>
      </c>
      <c r="F26" s="53">
        <v>90</v>
      </c>
      <c r="G26" s="53">
        <v>150</v>
      </c>
      <c r="I26" s="54">
        <v>120</v>
      </c>
      <c r="J26" s="54">
        <v>120</v>
      </c>
      <c r="K26" s="54">
        <v>120</v>
      </c>
      <c r="L26" s="54">
        <v>120</v>
      </c>
    </row>
    <row r="27" spans="1:12" ht="18" customHeight="1">
      <c r="A27" s="48" t="s">
        <v>63</v>
      </c>
      <c r="B27" s="67" t="s">
        <v>64</v>
      </c>
      <c r="C27" s="55">
        <f>'Building assets'!B92</f>
        <v>250.48999580814328</v>
      </c>
      <c r="D27" s="46" t="s">
        <v>44</v>
      </c>
      <c r="E27" s="46" t="s">
        <v>65</v>
      </c>
    </row>
    <row r="28" spans="1:12" ht="18" customHeight="1">
      <c r="A28" s="48" t="s">
        <v>66</v>
      </c>
      <c r="B28" s="51" t="s">
        <v>67</v>
      </c>
      <c r="C28" s="52">
        <f>CHOOSE($C$4,I28,J28,K28,L28)</f>
        <v>60</v>
      </c>
      <c r="D28" s="46" t="s">
        <v>44</v>
      </c>
      <c r="E28" s="46" t="s">
        <v>29</v>
      </c>
      <c r="F28" s="53">
        <v>30</v>
      </c>
      <c r="G28" s="53">
        <v>100</v>
      </c>
      <c r="I28" s="54">
        <v>60</v>
      </c>
      <c r="J28" s="54">
        <v>60</v>
      </c>
      <c r="K28" s="54">
        <v>60</v>
      </c>
      <c r="L28" s="54">
        <v>60</v>
      </c>
    </row>
    <row r="29" spans="1:12" ht="18" customHeight="1">
      <c r="A29" s="48" t="s">
        <v>68</v>
      </c>
      <c r="B29" s="51" t="s">
        <v>69</v>
      </c>
      <c r="C29" s="52">
        <f>CHOOSE($C$4,I29,J29,K29,L29)</f>
        <v>3.5</v>
      </c>
      <c r="D29" s="46" t="s">
        <v>39</v>
      </c>
      <c r="E29" s="46" t="s">
        <v>49</v>
      </c>
      <c r="F29" s="53">
        <v>2</v>
      </c>
      <c r="G29" s="53">
        <v>5</v>
      </c>
      <c r="I29" s="54">
        <v>3.5</v>
      </c>
      <c r="J29" s="54">
        <v>3.5</v>
      </c>
      <c r="K29" s="54">
        <v>3.5</v>
      </c>
      <c r="L29" s="54">
        <v>3.5</v>
      </c>
    </row>
    <row r="30" spans="1:12" ht="25.5" customHeight="1">
      <c r="A30" s="48" t="s">
        <v>70</v>
      </c>
      <c r="B30" s="51" t="s">
        <v>71</v>
      </c>
      <c r="C30" s="51">
        <f>CHOOSE($C$4,I30,J30,K30,L30)</f>
        <v>0.05</v>
      </c>
      <c r="D30" s="46" t="s">
        <v>39</v>
      </c>
      <c r="E30" s="46" t="s">
        <v>23</v>
      </c>
      <c r="F30" s="53">
        <v>0.03</v>
      </c>
      <c r="G30" s="53">
        <v>0.12</v>
      </c>
      <c r="I30" s="54">
        <v>0.05</v>
      </c>
      <c r="J30" s="54">
        <v>0.05</v>
      </c>
      <c r="K30" s="54">
        <v>0.05</v>
      </c>
      <c r="L30" s="54">
        <v>0.05</v>
      </c>
    </row>
    <row r="31" spans="1:12" ht="16.149999999999999" customHeight="1">
      <c r="A31" s="101"/>
      <c r="B31" s="102"/>
      <c r="C31" s="102"/>
      <c r="D31" s="102"/>
      <c r="E31" s="102"/>
      <c r="F31" s="102"/>
      <c r="G31" s="102"/>
      <c r="H31" s="102"/>
      <c r="I31" s="102"/>
      <c r="J31" s="102"/>
      <c r="K31" s="102"/>
      <c r="L31" s="102"/>
    </row>
    <row r="32" spans="1:12" ht="18" customHeight="1">
      <c r="A32" s="48" t="s">
        <v>72</v>
      </c>
      <c r="B32" s="51" t="s">
        <v>73</v>
      </c>
      <c r="C32" s="52">
        <f>CHOOSE($C$4,I32,J32,K32,L32)</f>
        <v>30</v>
      </c>
      <c r="D32" s="46" t="s">
        <v>26</v>
      </c>
      <c r="E32" s="46" t="s">
        <v>19</v>
      </c>
      <c r="F32" s="53">
        <v>22</v>
      </c>
      <c r="G32" s="53">
        <v>35</v>
      </c>
      <c r="I32" s="54">
        <v>30</v>
      </c>
      <c r="J32" s="54">
        <v>30</v>
      </c>
      <c r="K32" s="54">
        <v>30</v>
      </c>
      <c r="L32" s="54">
        <v>30</v>
      </c>
    </row>
    <row r="33" spans="1:12" ht="18" customHeight="1">
      <c r="A33" s="48" t="s">
        <v>74</v>
      </c>
      <c r="B33" s="51" t="s">
        <v>75</v>
      </c>
      <c r="C33" s="52">
        <f>CHOOSE($C$4,I33,J33,K33,L33)</f>
        <v>0.22</v>
      </c>
      <c r="D33" s="46" t="s">
        <v>39</v>
      </c>
      <c r="E33" s="46" t="s">
        <v>76</v>
      </c>
      <c r="F33" s="53">
        <v>0.18</v>
      </c>
      <c r="G33" s="53">
        <v>0.28000000000000003</v>
      </c>
      <c r="I33" s="54">
        <v>0.22</v>
      </c>
      <c r="J33" s="54">
        <v>0.22</v>
      </c>
      <c r="K33" s="54">
        <v>0.22</v>
      </c>
      <c r="L33" s="54">
        <v>0.22</v>
      </c>
    </row>
    <row r="34" spans="1:12" ht="18" customHeight="1">
      <c r="A34" s="48" t="s">
        <v>77</v>
      </c>
      <c r="B34" s="51" t="s">
        <v>78</v>
      </c>
      <c r="C34" s="52">
        <f>CHOOSE($C$4,I34,J34,K34,L34)</f>
        <v>0.35</v>
      </c>
      <c r="D34" s="46" t="s">
        <v>39</v>
      </c>
      <c r="E34" s="46" t="s">
        <v>76</v>
      </c>
      <c r="F34" s="53">
        <v>0.3</v>
      </c>
      <c r="G34" s="53">
        <v>0.42</v>
      </c>
      <c r="I34" s="54">
        <v>0.35</v>
      </c>
      <c r="J34" s="54">
        <v>0.35</v>
      </c>
      <c r="K34" s="54">
        <v>0.35</v>
      </c>
      <c r="L34" s="54">
        <v>0.35</v>
      </c>
    </row>
    <row r="35" spans="1:12" ht="18" customHeight="1">
      <c r="A35" s="48" t="s">
        <v>79</v>
      </c>
      <c r="B35" s="51" t="s">
        <v>80</v>
      </c>
      <c r="C35" s="52">
        <f>CHOOSE($C$4,I35,J35,K35,L35)</f>
        <v>0.67</v>
      </c>
      <c r="D35" s="46" t="s">
        <v>39</v>
      </c>
      <c r="E35" s="46" t="s">
        <v>29</v>
      </c>
      <c r="F35" s="53">
        <v>0.5</v>
      </c>
      <c r="G35" s="53">
        <v>0.8</v>
      </c>
      <c r="I35" s="54">
        <v>0.67</v>
      </c>
      <c r="J35" s="54">
        <v>0.67</v>
      </c>
      <c r="K35" s="54">
        <v>0.67</v>
      </c>
      <c r="L35" s="54">
        <v>0.67</v>
      </c>
    </row>
    <row r="36" spans="1:12" ht="18" customHeight="1">
      <c r="A36" s="48" t="s">
        <v>81</v>
      </c>
      <c r="B36" s="51" t="s">
        <v>82</v>
      </c>
      <c r="C36" s="55">
        <f>1-Alpha_Solar</f>
        <v>0.32999999999999996</v>
      </c>
      <c r="D36" s="46" t="s">
        <v>39</v>
      </c>
      <c r="E36" s="46" t="s">
        <v>83</v>
      </c>
    </row>
    <row r="37" spans="1:12" ht="18" customHeight="1">
      <c r="A37" s="72" t="s">
        <v>84</v>
      </c>
      <c r="B37" s="67" t="s">
        <v>85</v>
      </c>
      <c r="C37" s="55">
        <f>CF_Solar*Alpha_Solar+CF_Wind*Alpha_Wind</f>
        <v>0.26289999999999997</v>
      </c>
      <c r="D37" s="46"/>
      <c r="E37" s="46"/>
    </row>
    <row r="38" spans="1:12">
      <c r="A38" s="48" t="s">
        <v>86</v>
      </c>
      <c r="B38" s="51" t="s">
        <v>87</v>
      </c>
      <c r="C38" s="51">
        <f>CHOOSE($C$4,I38,J38,K38,L38)</f>
        <v>0.15</v>
      </c>
      <c r="D38" s="46" t="s">
        <v>39</v>
      </c>
      <c r="E38" s="46" t="s">
        <v>23</v>
      </c>
      <c r="F38" s="53">
        <v>0.1</v>
      </c>
      <c r="G38" s="53">
        <v>0.2</v>
      </c>
      <c r="I38" s="54">
        <v>0.15</v>
      </c>
      <c r="J38" s="54">
        <v>0.15</v>
      </c>
      <c r="K38" s="54">
        <v>0.15</v>
      </c>
      <c r="L38" s="54">
        <v>0.15</v>
      </c>
    </row>
    <row r="39" spans="1:12" ht="18" customHeight="1">
      <c r="A39" s="48" t="s">
        <v>88</v>
      </c>
      <c r="B39" s="51" t="s">
        <v>89</v>
      </c>
      <c r="C39" s="51">
        <f>ELCC_base*(1-VRE_Share0)</f>
        <v>9.2424900000000018E-2</v>
      </c>
      <c r="D39" s="46" t="s">
        <v>39</v>
      </c>
      <c r="E39" s="46" t="s">
        <v>90</v>
      </c>
      <c r="F39" s="53"/>
      <c r="G39" s="53"/>
      <c r="I39" s="54"/>
      <c r="J39" s="54"/>
      <c r="K39" s="54"/>
      <c r="L39" s="54"/>
    </row>
    <row r="40" spans="1:12" ht="18" customHeight="1">
      <c r="A40" s="48" t="s">
        <v>91</v>
      </c>
      <c r="B40" s="51" t="s">
        <v>92</v>
      </c>
      <c r="C40" s="52">
        <f t="shared" ref="C40:C45" si="3">CHOOSE($C$4,I40,J40,K40,L40)</f>
        <v>3</v>
      </c>
      <c r="D40" s="46" t="s">
        <v>93</v>
      </c>
      <c r="E40" s="46" t="s">
        <v>29</v>
      </c>
      <c r="F40" s="53">
        <v>2</v>
      </c>
      <c r="G40" s="53">
        <v>4</v>
      </c>
      <c r="I40" s="54">
        <v>3</v>
      </c>
      <c r="J40" s="54">
        <v>3</v>
      </c>
      <c r="K40" s="54">
        <v>3</v>
      </c>
      <c r="L40" s="54">
        <v>3</v>
      </c>
    </row>
    <row r="41" spans="1:12" ht="18" customHeight="1">
      <c r="A41" s="48" t="s">
        <v>94</v>
      </c>
      <c r="B41" s="51" t="s">
        <v>95</v>
      </c>
      <c r="C41" s="52">
        <f t="shared" si="3"/>
        <v>4</v>
      </c>
      <c r="D41" s="46" t="s">
        <v>44</v>
      </c>
      <c r="E41" s="46" t="s">
        <v>49</v>
      </c>
      <c r="F41" s="53">
        <v>2</v>
      </c>
      <c r="G41" s="53">
        <v>8</v>
      </c>
      <c r="I41" s="54">
        <v>4</v>
      </c>
      <c r="J41" s="54">
        <v>4</v>
      </c>
      <c r="K41" s="54">
        <v>4</v>
      </c>
      <c r="L41" s="54">
        <v>4</v>
      </c>
    </row>
    <row r="42" spans="1:12" ht="18" customHeight="1">
      <c r="A42" s="48" t="s">
        <v>96</v>
      </c>
      <c r="B42" s="51" t="s">
        <v>97</v>
      </c>
      <c r="C42" s="52">
        <f t="shared" si="3"/>
        <v>0</v>
      </c>
      <c r="D42" s="46" t="s">
        <v>22</v>
      </c>
      <c r="E42" s="46" t="s">
        <v>29</v>
      </c>
      <c r="F42" s="53">
        <v>0</v>
      </c>
      <c r="G42" s="53">
        <v>0.03</v>
      </c>
      <c r="I42" s="54">
        <v>0</v>
      </c>
      <c r="J42" s="54">
        <v>0</v>
      </c>
      <c r="K42" s="54">
        <v>0</v>
      </c>
      <c r="L42" s="54">
        <v>0</v>
      </c>
    </row>
    <row r="43" spans="1:12" ht="18" customHeight="1">
      <c r="A43" s="48" t="s">
        <v>98</v>
      </c>
      <c r="B43" s="51" t="s">
        <v>99</v>
      </c>
      <c r="C43" s="52">
        <f t="shared" si="3"/>
        <v>0.8</v>
      </c>
      <c r="D43" s="46" t="s">
        <v>39</v>
      </c>
      <c r="E43" s="66" t="s">
        <v>100</v>
      </c>
      <c r="F43" s="53">
        <v>0.65</v>
      </c>
      <c r="G43" s="53">
        <v>0.9</v>
      </c>
      <c r="I43" s="54">
        <v>0.8</v>
      </c>
      <c r="J43" s="54">
        <v>0.8</v>
      </c>
      <c r="K43" s="54">
        <v>0.8</v>
      </c>
      <c r="L43" s="54">
        <v>0.8</v>
      </c>
    </row>
    <row r="44" spans="1:12" ht="18" customHeight="1">
      <c r="A44" s="48" t="s">
        <v>101</v>
      </c>
      <c r="B44" s="51" t="s">
        <v>102</v>
      </c>
      <c r="C44" s="52">
        <f t="shared" si="3"/>
        <v>0.9</v>
      </c>
      <c r="D44" s="46" t="s">
        <v>39</v>
      </c>
      <c r="E44" s="46" t="s">
        <v>76</v>
      </c>
      <c r="F44" s="53">
        <v>0.85</v>
      </c>
      <c r="G44" s="53">
        <v>0.95</v>
      </c>
      <c r="I44" s="54">
        <v>0.9</v>
      </c>
      <c r="J44" s="54">
        <v>0.9</v>
      </c>
      <c r="K44" s="54">
        <v>0.9</v>
      </c>
      <c r="L44" s="54">
        <v>0.9</v>
      </c>
    </row>
    <row r="45" spans="1:12" ht="18" customHeight="1">
      <c r="A45" s="48" t="s">
        <v>103</v>
      </c>
      <c r="B45" s="51" t="s">
        <v>104</v>
      </c>
      <c r="C45" s="52">
        <f t="shared" si="3"/>
        <v>2</v>
      </c>
      <c r="D45" s="66" t="s">
        <v>26</v>
      </c>
      <c r="E45" s="46"/>
      <c r="F45" s="53">
        <v>1</v>
      </c>
      <c r="G45" s="53">
        <v>3</v>
      </c>
      <c r="I45" s="54">
        <v>2</v>
      </c>
      <c r="J45" s="54">
        <v>2</v>
      </c>
      <c r="K45" s="54">
        <v>2</v>
      </c>
      <c r="L45" s="54">
        <v>2</v>
      </c>
    </row>
    <row r="46" spans="1:12" ht="16.149999999999999" customHeight="1">
      <c r="A46" s="101" t="s">
        <v>105</v>
      </c>
      <c r="B46" s="102"/>
      <c r="C46" s="102"/>
      <c r="D46" s="102"/>
      <c r="E46" s="102"/>
      <c r="F46" s="102"/>
      <c r="G46" s="102"/>
      <c r="H46" s="102"/>
      <c r="I46" s="102"/>
      <c r="J46" s="102"/>
      <c r="K46" s="102"/>
      <c r="L46" s="102"/>
    </row>
    <row r="47" spans="1:12" ht="18" customHeight="1">
      <c r="A47" s="48" t="s">
        <v>106</v>
      </c>
      <c r="B47" s="51" t="s">
        <v>107</v>
      </c>
      <c r="C47" s="52">
        <f>CHOOSE($C$4,I47,J47,K47,L47)</f>
        <v>0.1</v>
      </c>
      <c r="D47" s="46" t="s">
        <v>39</v>
      </c>
      <c r="E47" s="46" t="s">
        <v>29</v>
      </c>
      <c r="F47" s="53">
        <v>0</v>
      </c>
      <c r="G47" s="53">
        <v>0.3</v>
      </c>
      <c r="I47" s="54">
        <v>0.1</v>
      </c>
      <c r="J47" s="54">
        <v>0.1</v>
      </c>
      <c r="K47" s="54">
        <v>0.1</v>
      </c>
      <c r="L47" s="54">
        <v>0.1</v>
      </c>
    </row>
    <row r="48" spans="1:12" ht="18" customHeight="1">
      <c r="A48" s="48" t="s">
        <v>108</v>
      </c>
      <c r="B48" s="51" t="s">
        <v>109</v>
      </c>
      <c r="C48" s="52">
        <f>CHOOSE($C$4,I48,J48,K48,L48)</f>
        <v>0.2</v>
      </c>
      <c r="D48" s="46" t="s">
        <v>39</v>
      </c>
      <c r="E48" s="46" t="s">
        <v>29</v>
      </c>
      <c r="F48" s="53">
        <v>0</v>
      </c>
      <c r="G48" s="53">
        <v>0.4</v>
      </c>
      <c r="I48" s="54">
        <v>0.2</v>
      </c>
      <c r="J48" s="54">
        <v>0.2</v>
      </c>
      <c r="K48" s="54">
        <v>0.2</v>
      </c>
      <c r="L48" s="54">
        <v>0.2</v>
      </c>
    </row>
    <row r="49" spans="1:12" ht="18" customHeight="1">
      <c r="A49" s="48" t="s">
        <v>110</v>
      </c>
      <c r="B49" s="51" t="s">
        <v>111</v>
      </c>
      <c r="C49" s="52">
        <f>CHOOSE($C$4,I49,J49,K49,L49)</f>
        <v>0.5</v>
      </c>
      <c r="D49" s="46" t="s">
        <v>39</v>
      </c>
      <c r="E49" s="46" t="s">
        <v>29</v>
      </c>
      <c r="F49" s="53">
        <v>0.2</v>
      </c>
      <c r="G49" s="53">
        <v>0.7</v>
      </c>
      <c r="I49" s="54">
        <v>0.5</v>
      </c>
      <c r="J49" s="54">
        <v>0.5</v>
      </c>
      <c r="K49" s="54">
        <v>0.5</v>
      </c>
      <c r="L49" s="54">
        <v>0.5</v>
      </c>
    </row>
    <row r="50" spans="1:12" ht="18" customHeight="1">
      <c r="A50" s="48" t="s">
        <v>112</v>
      </c>
      <c r="B50" s="51" t="s">
        <v>113</v>
      </c>
      <c r="C50" s="52">
        <f>CHOOSE($C$4,I50,J50,K50,L50)</f>
        <v>0.2</v>
      </c>
      <c r="D50" s="46" t="s">
        <v>39</v>
      </c>
      <c r="E50" s="46" t="s">
        <v>29</v>
      </c>
      <c r="F50" s="53">
        <v>0</v>
      </c>
      <c r="G50" s="53">
        <v>0.4</v>
      </c>
      <c r="I50" s="54">
        <v>0.2</v>
      </c>
      <c r="J50" s="54">
        <v>0.2</v>
      </c>
      <c r="K50" s="54">
        <v>0.2</v>
      </c>
      <c r="L50" s="54">
        <v>0.2</v>
      </c>
    </row>
    <row r="51" spans="1:12" ht="16.149999999999999" customHeight="1">
      <c r="A51" s="101" t="s">
        <v>114</v>
      </c>
      <c r="B51" s="102"/>
      <c r="C51" s="102"/>
      <c r="D51" s="102"/>
      <c r="E51" s="102"/>
      <c r="F51" s="102"/>
      <c r="G51" s="102"/>
      <c r="H51" s="102"/>
      <c r="I51" s="102"/>
      <c r="J51" s="102"/>
      <c r="K51" s="102"/>
      <c r="L51" s="102"/>
    </row>
    <row r="52" spans="1:12" ht="16.149999999999999" customHeight="1">
      <c r="A52" s="101" t="s">
        <v>115</v>
      </c>
      <c r="B52" s="102"/>
      <c r="C52" s="102"/>
      <c r="D52" s="102"/>
      <c r="E52" s="102"/>
      <c r="F52" s="102"/>
      <c r="G52" s="102"/>
      <c r="H52" s="102"/>
      <c r="I52" s="102"/>
      <c r="J52" s="102"/>
      <c r="K52" s="102"/>
      <c r="L52" s="102"/>
    </row>
    <row r="53" spans="1:12" ht="18" customHeight="1">
      <c r="A53" s="48" t="s">
        <v>116</v>
      </c>
      <c r="B53" s="51" t="s">
        <v>117</v>
      </c>
      <c r="C53" s="52">
        <f>CHOOSE($C$4,I53,J53,K53,L53)</f>
        <v>0.08</v>
      </c>
      <c r="D53" s="46" t="s">
        <v>118</v>
      </c>
      <c r="E53" s="46" t="s">
        <v>29</v>
      </c>
      <c r="F53" s="53">
        <v>0.06</v>
      </c>
      <c r="G53" s="53">
        <v>0.12</v>
      </c>
      <c r="I53" s="54">
        <v>0.08</v>
      </c>
      <c r="J53" s="54">
        <v>0.11</v>
      </c>
      <c r="K53" s="54">
        <v>0.08</v>
      </c>
      <c r="L53" s="54">
        <v>0.06</v>
      </c>
    </row>
    <row r="54" spans="1:12" ht="18" customHeight="1">
      <c r="A54" s="48" t="s">
        <v>119</v>
      </c>
      <c r="B54" s="51" t="s">
        <v>120</v>
      </c>
      <c r="C54" s="52">
        <f>CHOOSE($C$4,I54,J54,K54,L54)</f>
        <v>7.0000000000000007E-2</v>
      </c>
      <c r="D54" s="46" t="s">
        <v>118</v>
      </c>
      <c r="E54" s="46" t="s">
        <v>29</v>
      </c>
      <c r="F54" s="53">
        <v>0.05</v>
      </c>
      <c r="G54" s="53">
        <v>0.11</v>
      </c>
      <c r="I54" s="54">
        <v>7.0000000000000007E-2</v>
      </c>
      <c r="J54" s="54">
        <v>0.1</v>
      </c>
      <c r="K54" s="54">
        <v>7.0000000000000007E-2</v>
      </c>
      <c r="L54" s="54">
        <v>0.05</v>
      </c>
    </row>
    <row r="55" spans="1:12" ht="18" customHeight="1">
      <c r="A55" s="48" t="s">
        <v>121</v>
      </c>
      <c r="B55" s="67" t="s">
        <v>122</v>
      </c>
      <c r="C55" s="52">
        <f>CHOOSE($C$4,I55,J55,K55,L55)</f>
        <v>0.08</v>
      </c>
      <c r="D55" s="46" t="s">
        <v>118</v>
      </c>
      <c r="E55" s="46" t="s">
        <v>29</v>
      </c>
      <c r="F55" s="53">
        <v>0.06</v>
      </c>
      <c r="G55" s="53">
        <v>0.12</v>
      </c>
      <c r="I55" s="54">
        <v>0.08</v>
      </c>
      <c r="J55" s="54">
        <v>0.11</v>
      </c>
      <c r="K55" s="54">
        <v>0.08</v>
      </c>
      <c r="L55" s="54">
        <v>0.06</v>
      </c>
    </row>
    <row r="56" spans="1:12" ht="18" customHeight="1">
      <c r="A56" s="48" t="s">
        <v>123</v>
      </c>
      <c r="B56" s="51" t="s">
        <v>124</v>
      </c>
      <c r="C56" s="52">
        <f>CHOOSE($C$4,I56,J56,K56,L56)</f>
        <v>0.09</v>
      </c>
      <c r="D56" s="46" t="s">
        <v>118</v>
      </c>
      <c r="E56" s="46" t="s">
        <v>29</v>
      </c>
      <c r="F56" s="53">
        <v>7.0000000000000007E-2</v>
      </c>
      <c r="G56" s="53">
        <v>0.13</v>
      </c>
      <c r="I56" s="54">
        <v>0.09</v>
      </c>
      <c r="J56" s="54">
        <v>0.12</v>
      </c>
      <c r="K56" s="54">
        <v>0.09</v>
      </c>
      <c r="L56" s="54">
        <v>7.0000000000000007E-2</v>
      </c>
    </row>
    <row r="57" spans="1:12" ht="18" customHeight="1">
      <c r="A57" s="48" t="s">
        <v>125</v>
      </c>
      <c r="B57" s="51" t="s">
        <v>126</v>
      </c>
      <c r="C57" s="52">
        <f>CHOOSE($C$4,I57,J57,K57,L57)</f>
        <v>0</v>
      </c>
      <c r="D57" s="46" t="s">
        <v>118</v>
      </c>
      <c r="E57" s="46" t="s">
        <v>127</v>
      </c>
      <c r="F57" s="53">
        <v>0</v>
      </c>
      <c r="G57" s="53">
        <v>0.03</v>
      </c>
      <c r="I57" s="54">
        <v>0</v>
      </c>
      <c r="J57" s="54">
        <v>0</v>
      </c>
      <c r="K57" s="54">
        <v>0</v>
      </c>
      <c r="L57" s="54">
        <v>0.02</v>
      </c>
    </row>
    <row r="58" spans="1:12" ht="16.149999999999999" customHeight="1">
      <c r="A58" s="101" t="s">
        <v>128</v>
      </c>
      <c r="B58" s="102"/>
      <c r="C58" s="102"/>
      <c r="D58" s="102"/>
      <c r="E58" s="102"/>
      <c r="F58" s="102"/>
      <c r="G58" s="102"/>
      <c r="H58" s="102"/>
      <c r="I58" s="102"/>
      <c r="J58" s="102"/>
      <c r="K58" s="102"/>
      <c r="L58" s="102"/>
    </row>
    <row r="59" spans="1:12" ht="18" customHeight="1">
      <c r="A59" s="48" t="s">
        <v>129</v>
      </c>
      <c r="B59" s="51" t="s">
        <v>130</v>
      </c>
      <c r="C59" s="52">
        <f>CHOOSE($C$4,I59,J59,K59,L59)</f>
        <v>4</v>
      </c>
      <c r="D59" s="46" t="s">
        <v>39</v>
      </c>
      <c r="E59" s="46"/>
      <c r="F59" s="53">
        <v>1</v>
      </c>
      <c r="G59" s="53">
        <v>8</v>
      </c>
      <c r="I59" s="54">
        <v>4</v>
      </c>
      <c r="J59" s="54">
        <v>4</v>
      </c>
      <c r="K59" s="54">
        <v>4</v>
      </c>
      <c r="L59" s="54">
        <v>4</v>
      </c>
    </row>
    <row r="60" spans="1:12" ht="18" customHeight="1">
      <c r="A60" s="48" t="s">
        <v>131</v>
      </c>
      <c r="B60" s="51" t="s">
        <v>132</v>
      </c>
      <c r="C60" s="52">
        <f>CHOOSE($C$4,I60,J60,K60,L60)</f>
        <v>5</v>
      </c>
      <c r="D60" s="46" t="s">
        <v>39</v>
      </c>
      <c r="E60" s="46"/>
      <c r="F60" s="53">
        <v>2</v>
      </c>
      <c r="G60" s="53">
        <v>10</v>
      </c>
      <c r="I60" s="54">
        <v>5</v>
      </c>
      <c r="J60" s="54">
        <v>5</v>
      </c>
      <c r="K60" s="54">
        <v>5</v>
      </c>
      <c r="L60" s="54">
        <v>5</v>
      </c>
    </row>
    <row r="61" spans="1:12">
      <c r="A61" t="s">
        <v>133</v>
      </c>
      <c r="B61" t="s">
        <v>134</v>
      </c>
      <c r="C61">
        <f>CHOOSE($C$4,I61,J61,K61,L61)</f>
        <v>3</v>
      </c>
      <c r="D61" t="s">
        <v>39</v>
      </c>
      <c r="E61" t="s">
        <v>49</v>
      </c>
      <c r="F61">
        <v>2</v>
      </c>
      <c r="G61">
        <v>8</v>
      </c>
      <c r="I61">
        <v>3</v>
      </c>
      <c r="J61">
        <v>3</v>
      </c>
      <c r="K61">
        <v>3</v>
      </c>
      <c r="L61">
        <v>3</v>
      </c>
    </row>
    <row r="62" spans="1:12" ht="18" customHeight="1">
      <c r="A62" s="48" t="s">
        <v>135</v>
      </c>
      <c r="B62" s="51" t="s">
        <v>136</v>
      </c>
      <c r="C62" s="98">
        <f>VRE_Share0</f>
        <v>0.3838339999999999</v>
      </c>
      <c r="D62" s="46" t="s">
        <v>39</v>
      </c>
      <c r="E62" s="46" t="s">
        <v>137</v>
      </c>
      <c r="F62" s="53"/>
      <c r="G62" s="53"/>
      <c r="I62" s="54"/>
      <c r="J62" s="54"/>
      <c r="K62" s="54"/>
      <c r="L62" s="54"/>
    </row>
    <row r="63" spans="1:12" ht="18" customHeight="1">
      <c r="A63" s="48" t="s">
        <v>138</v>
      </c>
      <c r="B63" s="51" t="s">
        <v>139</v>
      </c>
      <c r="C63" s="52">
        <f>CHOOSE($C$4,I63,J63,K63,L63)</f>
        <v>0.15</v>
      </c>
      <c r="D63" s="46" t="s">
        <v>39</v>
      </c>
      <c r="E63" s="46"/>
      <c r="F63" s="53">
        <v>0.15</v>
      </c>
      <c r="G63" s="53">
        <v>0.4</v>
      </c>
      <c r="I63" s="54">
        <v>0.15</v>
      </c>
      <c r="J63" s="54">
        <v>0.15</v>
      </c>
      <c r="K63" s="54">
        <v>0.15</v>
      </c>
      <c r="L63" s="54">
        <v>0.15</v>
      </c>
    </row>
    <row r="64" spans="1:12" ht="16.149999999999999" customHeight="1">
      <c r="A64" s="101" t="s">
        <v>140</v>
      </c>
      <c r="B64" s="102"/>
      <c r="C64" s="102"/>
      <c r="D64" s="102"/>
      <c r="E64" s="102"/>
      <c r="F64" s="102"/>
      <c r="G64" s="102"/>
      <c r="H64" s="102"/>
      <c r="I64" s="102"/>
      <c r="J64" s="102"/>
      <c r="K64" s="102"/>
      <c r="L64" s="102"/>
    </row>
    <row r="65" spans="1:12" ht="18" customHeight="1">
      <c r="A65" s="48" t="s">
        <v>141</v>
      </c>
      <c r="B65" s="51" t="s">
        <v>142</v>
      </c>
      <c r="C65" s="52">
        <v>1</v>
      </c>
      <c r="D65" s="46" t="s">
        <v>143</v>
      </c>
      <c r="E65" s="66" t="s">
        <v>127</v>
      </c>
      <c r="F65" s="53">
        <v>0</v>
      </c>
      <c r="G65" s="53">
        <v>1</v>
      </c>
      <c r="I65" s="54">
        <v>1</v>
      </c>
      <c r="J65" s="54">
        <v>1</v>
      </c>
      <c r="K65" s="54">
        <v>0</v>
      </c>
      <c r="L65" s="54">
        <v>1</v>
      </c>
    </row>
    <row r="66" spans="1:12" ht="18" customHeight="1">
      <c r="A66" s="48" t="s">
        <v>144</v>
      </c>
      <c r="B66" s="51" t="s">
        <v>145</v>
      </c>
      <c r="C66" s="52">
        <f t="shared" ref="C66:C72" si="4">CHOOSE($C$4,I66,J66,K66,L66)</f>
        <v>2</v>
      </c>
      <c r="D66" s="46" t="s">
        <v>146</v>
      </c>
      <c r="E66" s="66" t="s">
        <v>127</v>
      </c>
      <c r="F66" s="53">
        <v>1</v>
      </c>
      <c r="G66" s="53">
        <v>5</v>
      </c>
      <c r="I66" s="54">
        <v>2</v>
      </c>
      <c r="J66" s="54">
        <v>2</v>
      </c>
      <c r="K66" s="54">
        <v>2</v>
      </c>
      <c r="L66" s="54">
        <v>2</v>
      </c>
    </row>
    <row r="67" spans="1:12" ht="18" customHeight="1">
      <c r="A67" s="48" t="s">
        <v>147</v>
      </c>
      <c r="B67" s="51" t="s">
        <v>148</v>
      </c>
      <c r="C67" s="52">
        <f t="shared" si="4"/>
        <v>1</v>
      </c>
      <c r="D67" s="46" t="s">
        <v>39</v>
      </c>
      <c r="E67" s="66" t="s">
        <v>127</v>
      </c>
      <c r="F67" s="53">
        <v>0.8</v>
      </c>
      <c r="G67" s="53">
        <v>1</v>
      </c>
      <c r="I67" s="54">
        <v>1</v>
      </c>
      <c r="J67" s="54">
        <v>1</v>
      </c>
      <c r="K67" s="54">
        <v>1</v>
      </c>
      <c r="L67" s="54">
        <v>1</v>
      </c>
    </row>
    <row r="68" spans="1:12" ht="18" customHeight="1">
      <c r="A68" s="48" t="s">
        <v>149</v>
      </c>
      <c r="B68" s="51" t="s">
        <v>150</v>
      </c>
      <c r="C68" s="52">
        <f t="shared" si="4"/>
        <v>1</v>
      </c>
      <c r="D68" s="46" t="s">
        <v>39</v>
      </c>
      <c r="E68" s="66" t="s">
        <v>127</v>
      </c>
      <c r="F68" s="53">
        <v>0.8</v>
      </c>
      <c r="G68" s="53">
        <v>1</v>
      </c>
      <c r="I68" s="54">
        <v>1</v>
      </c>
      <c r="J68" s="54">
        <v>1</v>
      </c>
      <c r="K68" s="54">
        <v>1</v>
      </c>
      <c r="L68" s="54">
        <v>1</v>
      </c>
    </row>
    <row r="69" spans="1:12" ht="18" customHeight="1">
      <c r="A69" s="48" t="s">
        <v>151</v>
      </c>
      <c r="B69" s="51" t="s">
        <v>152</v>
      </c>
      <c r="C69" s="52">
        <f t="shared" si="4"/>
        <v>0.9</v>
      </c>
      <c r="D69" s="46" t="s">
        <v>39</v>
      </c>
      <c r="E69" s="66" t="s">
        <v>127</v>
      </c>
      <c r="F69" s="53">
        <v>0.7</v>
      </c>
      <c r="G69" s="53">
        <v>1</v>
      </c>
      <c r="I69" s="54">
        <v>0.9</v>
      </c>
      <c r="J69" s="54">
        <v>0.9</v>
      </c>
      <c r="K69" s="54">
        <v>0.9</v>
      </c>
      <c r="L69" s="54">
        <v>0.9</v>
      </c>
    </row>
    <row r="70" spans="1:12" ht="18" customHeight="1">
      <c r="A70" s="48" t="s">
        <v>153</v>
      </c>
      <c r="B70" s="51" t="s">
        <v>154</v>
      </c>
      <c r="C70" s="52">
        <f t="shared" si="4"/>
        <v>3</v>
      </c>
      <c r="D70" s="46" t="s">
        <v>146</v>
      </c>
      <c r="E70" s="66" t="s">
        <v>127</v>
      </c>
      <c r="F70" s="53">
        <v>2</v>
      </c>
      <c r="G70" s="53">
        <v>5</v>
      </c>
      <c r="I70" s="54">
        <v>3</v>
      </c>
      <c r="J70" s="54">
        <v>3</v>
      </c>
      <c r="K70" s="54">
        <v>3</v>
      </c>
      <c r="L70" s="54">
        <v>3</v>
      </c>
    </row>
    <row r="71" spans="1:12" ht="18" customHeight="1">
      <c r="A71" s="48" t="s">
        <v>155</v>
      </c>
      <c r="B71" s="67" t="s">
        <v>156</v>
      </c>
      <c r="C71" s="52">
        <f t="shared" si="4"/>
        <v>7</v>
      </c>
      <c r="D71" s="46" t="s">
        <v>146</v>
      </c>
      <c r="E71" s="66" t="s">
        <v>127</v>
      </c>
      <c r="F71" s="53">
        <v>5</v>
      </c>
      <c r="G71" s="53">
        <v>10</v>
      </c>
      <c r="I71" s="54">
        <v>7</v>
      </c>
      <c r="J71" s="54">
        <v>7</v>
      </c>
      <c r="K71" s="54">
        <v>7</v>
      </c>
      <c r="L71" s="54">
        <v>7</v>
      </c>
    </row>
    <row r="72" spans="1:12" ht="18" customHeight="1">
      <c r="A72" s="48" t="s">
        <v>157</v>
      </c>
      <c r="B72" s="67" t="s">
        <v>158</v>
      </c>
      <c r="C72" s="52">
        <f t="shared" si="4"/>
        <v>20</v>
      </c>
      <c r="D72" s="46" t="s">
        <v>146</v>
      </c>
      <c r="E72" s="66" t="s">
        <v>127</v>
      </c>
      <c r="F72" s="53">
        <v>15</v>
      </c>
      <c r="G72" s="53">
        <v>25</v>
      </c>
      <c r="I72" s="54">
        <v>20</v>
      </c>
      <c r="J72" s="54">
        <v>20</v>
      </c>
      <c r="K72" s="54">
        <v>20</v>
      </c>
      <c r="L72" s="54">
        <v>20</v>
      </c>
    </row>
    <row r="73" spans="1:12" ht="17.25" customHeight="1">
      <c r="A73" s="48" t="s">
        <v>159</v>
      </c>
      <c r="B73" s="67" t="s">
        <v>160</v>
      </c>
      <c r="C73" s="99">
        <f>1/(Contract_Years-Recycle_Lag)</f>
        <v>7.6923076923076927E-2</v>
      </c>
      <c r="D73" s="46" t="s">
        <v>39</v>
      </c>
      <c r="E73" s="66" t="s">
        <v>83</v>
      </c>
      <c r="F73" s="53"/>
      <c r="G73" s="53"/>
      <c r="I73" s="54"/>
      <c r="J73" s="54"/>
      <c r="K73" s="54"/>
      <c r="L73" s="54"/>
    </row>
    <row r="74" spans="1:12" ht="18" customHeight="1">
      <c r="A74" s="48" t="s">
        <v>161</v>
      </c>
      <c r="B74" s="51" t="s">
        <v>162</v>
      </c>
      <c r="C74" s="52">
        <f>CHOOSE($C$4,I74,J74,K74,L74)</f>
        <v>6</v>
      </c>
      <c r="D74" s="66" t="s">
        <v>26</v>
      </c>
      <c r="E74" s="66" t="s">
        <v>127</v>
      </c>
      <c r="F74" s="53">
        <v>3</v>
      </c>
      <c r="G74" s="53">
        <v>9</v>
      </c>
      <c r="I74" s="54">
        <v>6</v>
      </c>
      <c r="J74" s="54">
        <v>6</v>
      </c>
      <c r="K74" s="54">
        <v>6</v>
      </c>
      <c r="L74" s="54">
        <v>6</v>
      </c>
    </row>
    <row r="75" spans="1:12">
      <c r="A75" s="48" t="s">
        <v>163</v>
      </c>
      <c r="B75" s="51" t="s">
        <v>164</v>
      </c>
      <c r="C75" s="52">
        <f>CHOOSE($C$4,I75,J75,K75,L75)</f>
        <v>0.01</v>
      </c>
      <c r="D75" s="66" t="s">
        <v>118</v>
      </c>
      <c r="E75" s="66" t="s">
        <v>29</v>
      </c>
      <c r="F75" s="53">
        <v>0.02</v>
      </c>
      <c r="G75" s="53">
        <v>0.1</v>
      </c>
      <c r="I75" s="54">
        <v>0.01</v>
      </c>
      <c r="J75" s="54">
        <v>0.01</v>
      </c>
      <c r="K75" s="54">
        <v>0.01</v>
      </c>
      <c r="L75" s="54">
        <v>0.01</v>
      </c>
    </row>
    <row r="76" spans="1:12" ht="25.5" customHeight="1">
      <c r="A76" s="48" t="s">
        <v>165</v>
      </c>
      <c r="B76" s="51" t="s">
        <v>166</v>
      </c>
      <c r="C76" s="52">
        <f>CHOOSE($C$4,I76,J76,K76,L76)</f>
        <v>0.02</v>
      </c>
      <c r="D76" s="66" t="s">
        <v>167</v>
      </c>
      <c r="E76" s="66" t="s">
        <v>29</v>
      </c>
      <c r="F76" s="53">
        <v>0</v>
      </c>
      <c r="G76" s="53">
        <v>0.02</v>
      </c>
      <c r="I76" s="54">
        <v>0.02</v>
      </c>
      <c r="J76" s="54">
        <v>0.02</v>
      </c>
      <c r="K76" s="54">
        <v>0.02</v>
      </c>
      <c r="L76" s="54">
        <v>0.02</v>
      </c>
    </row>
    <row r="77" spans="1:12" ht="16.149999999999999" customHeight="1">
      <c r="A77" s="101" t="s">
        <v>168</v>
      </c>
      <c r="B77" s="102"/>
      <c r="C77" s="102"/>
      <c r="D77" s="102"/>
      <c r="E77" s="102"/>
      <c r="F77" s="102"/>
      <c r="G77" s="102"/>
      <c r="H77" s="102"/>
      <c r="I77" s="102"/>
      <c r="J77" s="102"/>
      <c r="K77" s="102"/>
      <c r="L77" s="102"/>
    </row>
    <row r="78" spans="1:12" ht="18" customHeight="1">
      <c r="A78" s="48" t="s">
        <v>169</v>
      </c>
      <c r="B78" s="67" t="s">
        <v>170</v>
      </c>
      <c r="C78" s="52">
        <f>CHOOSE($C$4,I78,J78,K78,L78)</f>
        <v>-37</v>
      </c>
      <c r="D78" s="46" t="s">
        <v>171</v>
      </c>
      <c r="E78" s="71" t="s">
        <v>172</v>
      </c>
      <c r="F78" s="53">
        <v>20</v>
      </c>
      <c r="G78" s="53">
        <v>60</v>
      </c>
      <c r="I78" s="54">
        <v>-37</v>
      </c>
      <c r="J78" s="54">
        <v>-37</v>
      </c>
      <c r="K78" s="54">
        <v>-37</v>
      </c>
      <c r="L78" s="54">
        <v>-37</v>
      </c>
    </row>
    <row r="79" spans="1:12" ht="24" customHeight="1">
      <c r="A79" s="48" t="s">
        <v>173</v>
      </c>
      <c r="B79" s="46" t="s">
        <v>174</v>
      </c>
      <c r="C79" s="55">
        <f>VRE_Start*VRE_CFe*8.76/Dem_Start</f>
        <v>0.3838339999999999</v>
      </c>
      <c r="D79" s="46" t="s">
        <v>39</v>
      </c>
      <c r="E79" s="46" t="s">
        <v>83</v>
      </c>
    </row>
    <row r="80" spans="1:12">
      <c r="A80" t="s">
        <v>175</v>
      </c>
      <c r="B80" t="s">
        <v>176</v>
      </c>
    </row>
    <row r="83" spans="1:5">
      <c r="A83" t="s">
        <v>177</v>
      </c>
      <c r="B83" t="s">
        <v>178</v>
      </c>
      <c r="C83">
        <v>8.5470000000000006</v>
      </c>
      <c r="D83" t="s">
        <v>179</v>
      </c>
      <c r="E83" t="s">
        <v>180</v>
      </c>
    </row>
    <row r="84" spans="1:5">
      <c r="A84" t="s">
        <v>181</v>
      </c>
      <c r="B84" t="s">
        <v>182</v>
      </c>
      <c r="C84">
        <v>64.849999999999994</v>
      </c>
      <c r="D84" t="s">
        <v>183</v>
      </c>
      <c r="E84" t="s">
        <v>180</v>
      </c>
    </row>
    <row r="85" spans="1:5">
      <c r="A85" t="s">
        <v>184</v>
      </c>
      <c r="B85" t="s">
        <v>185</v>
      </c>
      <c r="C85">
        <v>4.68</v>
      </c>
      <c r="D85" t="s">
        <v>44</v>
      </c>
      <c r="E85" t="s">
        <v>180</v>
      </c>
    </row>
    <row r="86" spans="1:5">
      <c r="A86" t="s">
        <v>186</v>
      </c>
      <c r="B86" t="s">
        <v>187</v>
      </c>
      <c r="C86">
        <v>8.81</v>
      </c>
      <c r="D86" t="s">
        <v>188</v>
      </c>
      <c r="E86" t="s">
        <v>189</v>
      </c>
    </row>
    <row r="87" spans="1:5">
      <c r="A87" t="s">
        <v>190</v>
      </c>
      <c r="B87" t="s">
        <v>191</v>
      </c>
      <c r="C87">
        <v>1.4999999999999999E-2</v>
      </c>
      <c r="D87" t="s">
        <v>22</v>
      </c>
      <c r="E87" t="s">
        <v>192</v>
      </c>
    </row>
  </sheetData>
  <mergeCells count="12">
    <mergeCell ref="A77:L77"/>
    <mergeCell ref="A1:L1"/>
    <mergeCell ref="A46:L46"/>
    <mergeCell ref="A13:L13"/>
    <mergeCell ref="A31:L31"/>
    <mergeCell ref="A6:L6"/>
    <mergeCell ref="A20:L20"/>
    <mergeCell ref="A2:L2"/>
    <mergeCell ref="A64:L64"/>
    <mergeCell ref="A52:L52"/>
    <mergeCell ref="A51:L51"/>
    <mergeCell ref="A58:L58"/>
  </mergeCells>
  <dataValidations disablePrompts="1" count="1">
    <dataValidation type="list" sqref="C4" xr:uid="{00000000-0002-0000-0000-000000000000}">
      <formula1>"1,2,3,4"</formula1>
    </dataValidation>
  </dataValidations>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17"/>
  <sheetViews>
    <sheetView topLeftCell="A102" workbookViewId="0">
      <selection activeCell="A129" sqref="A129"/>
    </sheetView>
  </sheetViews>
  <sheetFormatPr defaultRowHeight="15"/>
  <cols>
    <col min="1" max="1" width="43.85546875" customWidth="1"/>
    <col min="2" max="27" width="8.42578125" customWidth="1"/>
  </cols>
  <sheetData>
    <row r="1" spans="1:27" ht="17.45" customHeight="1">
      <c r="A1" s="33" t="s">
        <v>193</v>
      </c>
      <c r="B1" s="34"/>
      <c r="C1" s="34"/>
      <c r="D1" s="34"/>
      <c r="E1" s="34"/>
      <c r="F1" s="34"/>
      <c r="G1" s="34"/>
      <c r="H1" s="34"/>
      <c r="I1" s="34"/>
      <c r="J1" s="34"/>
      <c r="K1" s="34"/>
      <c r="L1" s="34"/>
      <c r="M1" s="34"/>
      <c r="N1" s="34"/>
      <c r="O1" s="34"/>
      <c r="P1" s="34"/>
      <c r="Q1" s="34"/>
      <c r="R1" s="34"/>
      <c r="S1" s="34"/>
      <c r="T1" s="34"/>
      <c r="U1" s="34"/>
      <c r="V1" s="34"/>
      <c r="W1" s="34"/>
      <c r="X1" s="34"/>
      <c r="Y1" s="34"/>
      <c r="Z1" s="34"/>
      <c r="AA1" s="34"/>
    </row>
    <row r="2" spans="1:27">
      <c r="A2" s="35" t="s">
        <v>194</v>
      </c>
      <c r="B2" s="34"/>
      <c r="C2" s="34"/>
      <c r="D2" s="34"/>
      <c r="E2" s="34"/>
      <c r="F2" s="34"/>
      <c r="G2" s="34"/>
      <c r="H2" s="34"/>
      <c r="I2" s="34"/>
      <c r="J2" s="34"/>
      <c r="K2" s="34"/>
      <c r="L2" s="34"/>
      <c r="M2" s="34"/>
      <c r="N2" s="34"/>
      <c r="O2" s="34"/>
      <c r="P2" s="34"/>
      <c r="Q2" s="34"/>
      <c r="R2" s="34"/>
      <c r="S2" s="34"/>
      <c r="T2" s="34"/>
      <c r="U2" s="34"/>
      <c r="V2" s="34"/>
      <c r="W2" s="34"/>
      <c r="X2" s="34"/>
      <c r="Y2" s="34"/>
      <c r="Z2" s="34"/>
      <c r="AA2" s="34"/>
    </row>
    <row r="3" spans="1:27">
      <c r="A3" s="34" t="s">
        <v>195</v>
      </c>
      <c r="B3" s="34"/>
      <c r="C3" s="34"/>
      <c r="D3" s="34"/>
      <c r="E3" s="34"/>
      <c r="F3" s="34"/>
      <c r="G3" s="34"/>
      <c r="H3" s="34"/>
      <c r="I3" s="34"/>
      <c r="J3" s="34"/>
      <c r="K3" s="34"/>
      <c r="L3" s="34"/>
      <c r="M3" s="34"/>
      <c r="N3" s="34"/>
      <c r="O3" s="34"/>
      <c r="P3" s="34"/>
      <c r="Q3" s="34"/>
      <c r="R3" s="34"/>
      <c r="S3" s="34"/>
      <c r="T3" s="34"/>
      <c r="U3" s="34"/>
      <c r="V3" s="34"/>
      <c r="W3" s="34"/>
      <c r="X3" s="34"/>
      <c r="Y3" s="34"/>
      <c r="Z3" s="34"/>
      <c r="AA3" s="34"/>
    </row>
    <row r="4" spans="1:27">
      <c r="A4" s="32"/>
      <c r="B4" s="34"/>
      <c r="C4" s="34"/>
      <c r="D4" s="34"/>
      <c r="E4" s="34"/>
      <c r="F4" s="34"/>
      <c r="G4" s="34"/>
      <c r="H4" s="34"/>
      <c r="I4" s="34"/>
      <c r="J4" s="34"/>
      <c r="K4" s="34"/>
      <c r="L4" s="34"/>
      <c r="M4" s="34"/>
      <c r="N4" s="34"/>
      <c r="O4" s="34"/>
      <c r="P4" s="34"/>
      <c r="Q4" s="34"/>
      <c r="R4" s="34"/>
      <c r="S4" s="34"/>
      <c r="T4" s="34"/>
      <c r="U4" s="34"/>
      <c r="V4" s="34"/>
      <c r="W4" s="34"/>
      <c r="X4" s="34"/>
      <c r="Y4" s="34"/>
      <c r="Z4" s="34"/>
      <c r="AA4" s="34"/>
    </row>
    <row r="5" spans="1:27">
      <c r="A5" s="32" t="s">
        <v>196</v>
      </c>
      <c r="B5" s="34"/>
      <c r="C5" s="34"/>
      <c r="D5" s="34"/>
      <c r="E5" s="34"/>
      <c r="F5" s="34"/>
      <c r="G5" s="34"/>
      <c r="H5" s="34"/>
      <c r="I5" s="34"/>
      <c r="J5" s="34"/>
      <c r="K5" s="34"/>
      <c r="L5" s="34"/>
      <c r="M5" s="34"/>
      <c r="N5" s="34"/>
      <c r="O5" s="34"/>
      <c r="P5" s="34"/>
      <c r="Q5" s="34"/>
      <c r="R5" s="34"/>
      <c r="S5" s="34"/>
      <c r="T5" s="34"/>
      <c r="U5" s="34"/>
      <c r="V5" s="34"/>
      <c r="W5" s="34"/>
      <c r="X5" s="34"/>
      <c r="Y5" s="34"/>
      <c r="Z5" s="34"/>
      <c r="AA5" s="34"/>
    </row>
    <row r="6" spans="1:27">
      <c r="A6" s="34" t="s">
        <v>197</v>
      </c>
      <c r="B6" s="34"/>
      <c r="C6" s="34"/>
      <c r="D6" s="34"/>
      <c r="E6" s="34"/>
      <c r="F6" s="34"/>
      <c r="G6" s="34"/>
      <c r="H6" s="34"/>
      <c r="I6" s="34"/>
      <c r="J6" s="34"/>
      <c r="K6" s="34"/>
      <c r="L6" s="34"/>
      <c r="M6" s="34"/>
      <c r="N6" s="34"/>
      <c r="O6" s="34"/>
      <c r="P6" s="34"/>
      <c r="Q6" s="34"/>
      <c r="R6" s="34"/>
      <c r="S6" s="34"/>
      <c r="T6" s="34"/>
      <c r="U6" s="34"/>
      <c r="V6" s="34"/>
      <c r="W6" s="34"/>
      <c r="X6" s="34"/>
      <c r="Y6" s="34"/>
      <c r="Z6" s="34"/>
      <c r="AA6" s="34"/>
    </row>
    <row r="7" spans="1:27">
      <c r="A7" s="34" t="s">
        <v>198</v>
      </c>
      <c r="B7" s="34">
        <f>Batt_WACC</f>
        <v>0.08</v>
      </c>
      <c r="C7" s="34"/>
      <c r="D7" s="34"/>
      <c r="E7" s="34"/>
      <c r="F7" s="34"/>
      <c r="G7" s="34"/>
      <c r="H7" s="34"/>
      <c r="I7" s="34"/>
      <c r="J7" s="34"/>
      <c r="K7" s="34"/>
      <c r="L7" s="34"/>
      <c r="M7" s="34"/>
      <c r="N7" s="34"/>
      <c r="O7" s="34"/>
      <c r="P7" s="34"/>
      <c r="Q7" s="34"/>
      <c r="R7" s="34"/>
      <c r="S7" s="34"/>
      <c r="T7" s="34"/>
      <c r="U7" s="34"/>
      <c r="V7" s="34"/>
      <c r="W7" s="34"/>
      <c r="X7" s="34"/>
      <c r="Y7" s="34"/>
      <c r="Z7" s="34"/>
      <c r="AA7" s="34"/>
    </row>
    <row r="8" spans="1:27">
      <c r="A8" s="34" t="s">
        <v>199</v>
      </c>
      <c r="B8" s="34">
        <f>VRE_WACC_S</f>
        <v>7.0000000000000007E-2</v>
      </c>
      <c r="C8" s="34"/>
      <c r="D8" s="34"/>
      <c r="E8" s="36"/>
      <c r="F8" s="34"/>
      <c r="G8" s="34"/>
      <c r="H8" s="34"/>
      <c r="I8" s="34"/>
      <c r="J8" s="34"/>
      <c r="K8" s="34"/>
      <c r="L8" s="34"/>
      <c r="M8" s="34"/>
      <c r="N8" s="34"/>
      <c r="O8" s="34"/>
      <c r="P8" s="34"/>
      <c r="Q8" s="34"/>
      <c r="R8" s="34"/>
      <c r="S8" s="34"/>
      <c r="T8" s="34"/>
      <c r="U8" s="34"/>
      <c r="V8" s="34"/>
      <c r="W8" s="34"/>
      <c r="X8" s="34"/>
      <c r="Y8" s="34"/>
      <c r="Z8" s="34"/>
      <c r="AA8" s="34"/>
    </row>
    <row r="9" spans="1:27">
      <c r="A9" s="34" t="s">
        <v>200</v>
      </c>
      <c r="B9" s="34">
        <f>VRE_WACC_W</f>
        <v>0.08</v>
      </c>
      <c r="C9" s="34"/>
      <c r="D9" s="34"/>
      <c r="E9" s="36"/>
      <c r="F9" s="34"/>
      <c r="G9" s="34"/>
      <c r="H9" s="34"/>
      <c r="I9" s="34"/>
      <c r="J9" s="34"/>
      <c r="K9" s="34"/>
      <c r="L9" s="34"/>
      <c r="M9" s="34"/>
      <c r="N9" s="34"/>
      <c r="O9" s="34"/>
      <c r="P9" s="34"/>
      <c r="Q9" s="34"/>
      <c r="R9" s="34"/>
      <c r="S9" s="34"/>
      <c r="T9" s="34"/>
      <c r="U9" s="34"/>
      <c r="V9" s="34"/>
      <c r="W9" s="34"/>
      <c r="X9" s="34"/>
      <c r="Y9" s="34"/>
      <c r="Z9" s="34"/>
      <c r="AA9" s="34"/>
    </row>
    <row r="10" spans="1:27">
      <c r="A10" s="34" t="s">
        <v>201</v>
      </c>
      <c r="B10" s="34">
        <f>Gas_WACC</f>
        <v>0.09</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row>
    <row r="11" spans="1:27">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row>
    <row r="12" spans="1:27">
      <c r="A12" s="32" t="s">
        <v>202</v>
      </c>
      <c r="B12" s="34"/>
      <c r="C12" s="34"/>
      <c r="D12" s="34"/>
      <c r="E12" s="34"/>
      <c r="F12" s="34"/>
      <c r="G12" s="34"/>
      <c r="H12" s="34"/>
      <c r="I12" s="34"/>
      <c r="J12" s="34"/>
      <c r="K12" s="34"/>
      <c r="L12" s="34"/>
      <c r="M12" s="34"/>
      <c r="N12" s="34"/>
      <c r="O12" s="34"/>
      <c r="P12" s="34"/>
      <c r="Q12" s="34"/>
      <c r="R12" s="34"/>
      <c r="S12" s="34"/>
      <c r="T12" s="34"/>
      <c r="U12" s="34"/>
      <c r="V12" s="34"/>
      <c r="W12" s="34"/>
      <c r="X12" s="34"/>
      <c r="Y12" s="34"/>
      <c r="Z12" s="34"/>
      <c r="AA12" s="34"/>
    </row>
    <row r="13" spans="1:27">
      <c r="A13" s="34" t="s">
        <v>203</v>
      </c>
      <c r="B13" s="34">
        <v>20</v>
      </c>
      <c r="C13" s="34"/>
      <c r="D13" s="34"/>
      <c r="E13" s="34"/>
      <c r="F13" s="34"/>
      <c r="G13" s="34"/>
      <c r="H13" s="34"/>
      <c r="I13" s="34"/>
      <c r="J13" s="34"/>
      <c r="K13" s="34"/>
      <c r="L13" s="34"/>
      <c r="M13" s="34"/>
      <c r="N13" s="34"/>
      <c r="O13" s="34"/>
      <c r="P13" s="34"/>
      <c r="Q13" s="34"/>
      <c r="R13" s="34"/>
      <c r="S13" s="34"/>
      <c r="T13" s="34"/>
      <c r="U13" s="34"/>
      <c r="V13" s="34"/>
      <c r="W13" s="34"/>
      <c r="X13" s="34"/>
      <c r="Y13" s="34"/>
      <c r="Z13" s="34"/>
      <c r="AA13" s="34"/>
    </row>
    <row r="14" spans="1:27">
      <c r="A14" s="34" t="s">
        <v>204</v>
      </c>
      <c r="B14" s="34">
        <v>30</v>
      </c>
      <c r="C14" s="34"/>
      <c r="D14" s="34"/>
      <c r="E14" s="34"/>
      <c r="F14" s="34"/>
      <c r="G14" s="34"/>
      <c r="H14" s="34"/>
      <c r="I14" s="34"/>
      <c r="J14" s="34"/>
      <c r="K14" s="34"/>
      <c r="L14" s="34"/>
      <c r="M14" s="34"/>
      <c r="N14" s="34"/>
      <c r="O14" s="34"/>
      <c r="P14" s="34"/>
      <c r="Q14" s="34"/>
      <c r="R14" s="34"/>
      <c r="S14" s="34"/>
      <c r="T14" s="34"/>
      <c r="U14" s="34"/>
      <c r="V14" s="34"/>
      <c r="W14" s="34"/>
      <c r="X14" s="34"/>
      <c r="Y14" s="34"/>
      <c r="Z14" s="34"/>
      <c r="AA14" s="34"/>
    </row>
    <row r="15" spans="1:27">
      <c r="A15" s="34" t="s">
        <v>205</v>
      </c>
      <c r="B15" s="34">
        <v>25</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row>
    <row r="16" spans="1:27">
      <c r="A16" s="34" t="s">
        <v>206</v>
      </c>
      <c r="B16" s="34">
        <v>25</v>
      </c>
      <c r="C16" s="34"/>
      <c r="D16" s="34"/>
      <c r="E16" s="34"/>
      <c r="F16" s="34"/>
      <c r="G16" s="34"/>
      <c r="H16" s="34"/>
      <c r="I16" s="34"/>
      <c r="J16" s="34"/>
      <c r="K16" s="34"/>
      <c r="L16" s="34"/>
      <c r="M16" s="34"/>
      <c r="N16" s="34"/>
      <c r="O16" s="34"/>
      <c r="P16" s="34"/>
      <c r="Q16" s="34"/>
      <c r="R16" s="34"/>
      <c r="S16" s="34"/>
      <c r="T16" s="34"/>
      <c r="U16" s="34"/>
      <c r="V16" s="34"/>
      <c r="W16" s="34"/>
      <c r="X16" s="34"/>
      <c r="Y16" s="34"/>
      <c r="Z16" s="34"/>
      <c r="AA16" s="34"/>
    </row>
    <row r="17" spans="1:27">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spans="1:27">
      <c r="A18" s="75" t="s">
        <v>207</v>
      </c>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row>
    <row r="19" spans="1:27">
      <c r="A19" s="34" t="s">
        <v>208</v>
      </c>
      <c r="B19" s="34">
        <v>0.5</v>
      </c>
      <c r="C19" s="34"/>
      <c r="D19" s="34"/>
      <c r="E19" s="34"/>
      <c r="F19" s="34"/>
      <c r="G19" s="34"/>
      <c r="H19" s="34"/>
      <c r="I19" s="34"/>
      <c r="J19" s="34"/>
      <c r="K19" s="34"/>
      <c r="L19" s="34"/>
      <c r="M19" s="34"/>
      <c r="N19" s="34"/>
      <c r="O19" s="34"/>
      <c r="P19" s="34"/>
      <c r="Q19" s="34"/>
      <c r="R19" s="34"/>
      <c r="S19" s="34"/>
      <c r="T19" s="34"/>
      <c r="U19" s="34"/>
      <c r="V19" s="34"/>
      <c r="W19" s="34"/>
      <c r="X19" s="34"/>
      <c r="Y19" s="34"/>
      <c r="Z19" s="34"/>
      <c r="AA19" s="34"/>
    </row>
    <row r="20" spans="1:27">
      <c r="A20" s="34" t="s">
        <v>209</v>
      </c>
      <c r="B20" s="34">
        <v>12</v>
      </c>
      <c r="C20" s="34"/>
      <c r="D20" s="34"/>
      <c r="E20" s="34"/>
      <c r="F20" s="34"/>
      <c r="G20" s="34"/>
      <c r="H20" s="34"/>
      <c r="I20" s="34"/>
      <c r="J20" s="34"/>
      <c r="K20" s="34"/>
      <c r="L20" s="34"/>
      <c r="M20" s="34"/>
      <c r="N20" s="34"/>
      <c r="O20" s="34"/>
      <c r="P20" s="34"/>
      <c r="Q20" s="34"/>
      <c r="R20" s="34"/>
      <c r="S20" s="34"/>
      <c r="T20" s="34"/>
      <c r="U20" s="34"/>
      <c r="V20" s="34"/>
      <c r="W20" s="34"/>
      <c r="X20" s="34"/>
      <c r="Y20" s="34"/>
      <c r="Z20" s="34"/>
      <c r="AA20" s="34"/>
    </row>
    <row r="21" spans="1:27">
      <c r="A21" s="34"/>
      <c r="B21" s="34"/>
      <c r="C21" s="34"/>
      <c r="D21" s="34"/>
      <c r="E21" s="34"/>
      <c r="F21" s="34"/>
      <c r="G21" s="34"/>
      <c r="H21" s="34"/>
      <c r="I21" s="34"/>
      <c r="J21" s="34"/>
      <c r="K21" s="34"/>
      <c r="L21" s="34"/>
      <c r="M21" s="34"/>
      <c r="N21" s="34"/>
      <c r="O21" s="34"/>
      <c r="P21" s="34"/>
      <c r="Q21" s="34"/>
      <c r="R21" s="34"/>
      <c r="S21" s="34"/>
      <c r="T21" s="34"/>
      <c r="U21" s="34"/>
      <c r="V21" s="34"/>
      <c r="W21" s="34"/>
      <c r="X21" s="34"/>
      <c r="Y21" s="34"/>
      <c r="Z21" s="34"/>
      <c r="AA21" s="34"/>
    </row>
    <row r="22" spans="1:27">
      <c r="A22" s="32" t="s">
        <v>210</v>
      </c>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row>
    <row r="23" spans="1:27">
      <c r="A23" s="34" t="s">
        <v>211</v>
      </c>
      <c r="B23" s="34">
        <f>VRE_Ratio</f>
        <v>3</v>
      </c>
      <c r="C23" s="34"/>
      <c r="D23" s="34"/>
      <c r="E23" s="34"/>
      <c r="F23" s="34"/>
      <c r="G23" s="34"/>
      <c r="H23" s="34"/>
      <c r="I23" s="34"/>
      <c r="J23" s="34"/>
      <c r="K23" s="34"/>
      <c r="L23" s="34"/>
      <c r="M23" s="34"/>
      <c r="N23" s="34"/>
      <c r="O23" s="34"/>
      <c r="P23" s="34"/>
      <c r="Q23" s="34"/>
      <c r="R23" s="34"/>
      <c r="S23" s="34"/>
      <c r="T23" s="34"/>
      <c r="U23" s="34"/>
      <c r="V23" s="34"/>
      <c r="W23" s="34"/>
      <c r="X23" s="34"/>
      <c r="Y23" s="34"/>
      <c r="Z23" s="34"/>
      <c r="AA23" s="34"/>
    </row>
    <row r="24" spans="1:27">
      <c r="A24" s="38" t="s">
        <v>212</v>
      </c>
      <c r="B24" s="34">
        <f>Alpha_Solar</f>
        <v>0.67</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row>
    <row r="25" spans="1:27">
      <c r="A25" s="34" t="s">
        <v>213</v>
      </c>
      <c r="B25" s="74">
        <f>Alpha_Wind</f>
        <v>0.32999999999999996</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row>
    <row r="26" spans="1:27">
      <c r="A26" s="34" t="s">
        <v>75</v>
      </c>
      <c r="B26" s="74">
        <f>CF_Solar</f>
        <v>0.22</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row>
    <row r="27" spans="1:27">
      <c r="A27" s="34" t="s">
        <v>78</v>
      </c>
      <c r="B27" s="74">
        <f>CF_Wind</f>
        <v>0.35</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row>
    <row r="28" spans="1:27">
      <c r="A28" s="34" t="s">
        <v>102</v>
      </c>
      <c r="B28" s="74">
        <f>Battery_RTE</f>
        <v>0.9</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row>
    <row r="29" spans="1:27">
      <c r="A29" s="34" t="s">
        <v>214</v>
      </c>
      <c r="B29" s="74">
        <f>Direct_Flow</f>
        <v>0.8</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row>
    <row r="30" spans="1:27">
      <c r="A30" s="34"/>
      <c r="B30" s="74"/>
      <c r="C30" s="37"/>
      <c r="D30" s="37"/>
      <c r="E30" s="37"/>
      <c r="F30" s="37"/>
      <c r="G30" s="37"/>
      <c r="H30" s="37"/>
      <c r="I30" s="37"/>
      <c r="J30" s="37"/>
      <c r="K30" s="37"/>
      <c r="L30" s="37"/>
      <c r="M30" s="37"/>
      <c r="N30" s="37"/>
      <c r="O30" s="37"/>
      <c r="P30" s="37"/>
      <c r="Q30" s="37"/>
      <c r="R30" s="37"/>
      <c r="S30" s="37"/>
      <c r="T30" s="37"/>
      <c r="U30" s="37"/>
      <c r="V30" s="37"/>
      <c r="W30" s="37"/>
      <c r="X30" s="37"/>
      <c r="Y30" s="37"/>
      <c r="Z30" s="37"/>
      <c r="AA30" s="37"/>
    </row>
    <row r="31" spans="1:27">
      <c r="A31" s="32" t="s">
        <v>215</v>
      </c>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row>
    <row r="32" spans="1:27">
      <c r="A32" s="76" t="s">
        <v>216</v>
      </c>
      <c r="B32" s="34">
        <f>Batt_w1h</f>
        <v>0.1</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row>
    <row r="33" spans="1:27">
      <c r="A33" s="76" t="s">
        <v>217</v>
      </c>
      <c r="B33" s="74">
        <f>Batt_w2h</f>
        <v>0.2</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row>
    <row r="34" spans="1:27">
      <c r="A34" s="76" t="s">
        <v>218</v>
      </c>
      <c r="B34" s="74">
        <f>Batt_w4h</f>
        <v>0.5</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row>
    <row r="35" spans="1:27">
      <c r="A35" s="76" t="s">
        <v>219</v>
      </c>
      <c r="B35" s="74">
        <f>Batt_w8h</f>
        <v>0.2</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row>
    <row r="36" spans="1:27">
      <c r="A36" s="34" t="s">
        <v>220</v>
      </c>
      <c r="B36" s="74" t="str">
        <f>IF(ABS(B32+B33+B34+B35-1)&lt;0.001,"check!","verify battery")</f>
        <v>check!</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row>
    <row r="37" spans="1:27">
      <c r="A37" s="34" t="s">
        <v>221</v>
      </c>
      <c r="B37" s="74">
        <f>1*B32+2*B33+4*B34+8*B35</f>
        <v>4.0999999999999996</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row>
    <row r="38" spans="1:27">
      <c r="A38" s="32" t="s">
        <v>222</v>
      </c>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row>
    <row r="39" spans="1:27">
      <c r="A39" s="34" t="s">
        <v>223</v>
      </c>
      <c r="B39" s="74">
        <f>Firm_CFe</f>
        <v>0.22</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row>
    <row r="40" spans="1:27">
      <c r="A40" s="34" t="s">
        <v>224</v>
      </c>
      <c r="B40" s="77">
        <f>Firm_VC</f>
        <v>120</v>
      </c>
      <c r="C40" s="70"/>
      <c r="D40" s="70"/>
      <c r="E40" s="70"/>
      <c r="F40" s="70"/>
      <c r="G40" s="70"/>
      <c r="H40" s="70"/>
      <c r="I40" s="70"/>
      <c r="J40" s="70"/>
      <c r="K40" s="70"/>
      <c r="L40" s="70"/>
      <c r="M40" s="70"/>
      <c r="N40" s="70"/>
      <c r="O40" s="70"/>
      <c r="P40" s="70"/>
      <c r="Q40" s="70"/>
      <c r="R40" s="70"/>
      <c r="S40" s="70"/>
      <c r="T40" s="70"/>
      <c r="U40" s="70"/>
      <c r="V40" s="70"/>
      <c r="W40" s="70"/>
      <c r="X40" s="70"/>
      <c r="Y40" s="70"/>
      <c r="Z40" s="70"/>
      <c r="AA40" s="70"/>
    </row>
    <row r="41" spans="1:27">
      <c r="A41" s="34"/>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row>
    <row r="42" spans="1:27">
      <c r="A42" s="32" t="s">
        <v>225</v>
      </c>
      <c r="B42" s="34"/>
      <c r="C42" s="34"/>
      <c r="D42" s="34"/>
      <c r="E42" s="34"/>
      <c r="F42" s="34"/>
      <c r="G42" s="34"/>
      <c r="H42" s="34"/>
      <c r="I42" s="34"/>
      <c r="J42" s="34"/>
      <c r="K42" s="34"/>
      <c r="L42" s="34"/>
      <c r="M42" s="34"/>
      <c r="N42" s="34"/>
      <c r="O42" s="34"/>
      <c r="P42" s="34"/>
      <c r="Q42" s="34"/>
      <c r="R42" s="34"/>
      <c r="S42" s="34"/>
      <c r="T42" s="34"/>
      <c r="U42" s="34"/>
      <c r="V42" s="34"/>
      <c r="W42" s="34"/>
      <c r="X42" s="34"/>
      <c r="Y42" s="34"/>
      <c r="Z42" s="34"/>
      <c r="AA42" s="34"/>
    </row>
    <row r="43" spans="1:27">
      <c r="A43" s="35" t="s">
        <v>226</v>
      </c>
      <c r="B43" s="34"/>
      <c r="C43" s="34"/>
      <c r="D43" s="34"/>
      <c r="E43" s="34"/>
      <c r="F43" s="34"/>
      <c r="G43" s="34"/>
      <c r="H43" s="34"/>
      <c r="I43" s="34"/>
      <c r="J43" s="34"/>
      <c r="K43" s="34"/>
      <c r="L43" s="34"/>
      <c r="M43" s="34"/>
      <c r="N43" s="34"/>
      <c r="O43" s="34"/>
      <c r="P43" s="34"/>
      <c r="Q43" s="34"/>
      <c r="R43" s="34"/>
      <c r="S43" s="34"/>
      <c r="T43" s="34"/>
      <c r="U43" s="34"/>
      <c r="V43" s="34"/>
      <c r="W43" s="34"/>
      <c r="X43" s="34"/>
      <c r="Y43" s="34"/>
      <c r="Z43" s="34"/>
      <c r="AA43" s="34"/>
    </row>
    <row r="44" spans="1:27">
      <c r="A44" s="34" t="s">
        <v>227</v>
      </c>
      <c r="B44" s="78">
        <f>Model!C2</f>
        <v>0</v>
      </c>
      <c r="C44" s="34">
        <f>Model!D2</f>
        <v>1</v>
      </c>
      <c r="D44" s="34">
        <f>Model!E2</f>
        <v>2</v>
      </c>
      <c r="E44" s="34">
        <f>Model!F2</f>
        <v>3</v>
      </c>
      <c r="F44" s="34">
        <f>Model!G2</f>
        <v>4</v>
      </c>
      <c r="G44" s="34">
        <f>Model!H2</f>
        <v>5</v>
      </c>
      <c r="H44" s="34">
        <f>Model!I2</f>
        <v>6</v>
      </c>
      <c r="I44" s="34">
        <f>Model!J2</f>
        <v>7</v>
      </c>
      <c r="J44" s="34">
        <f>Model!K2</f>
        <v>8</v>
      </c>
      <c r="K44" s="34">
        <f>Model!L2</f>
        <v>9</v>
      </c>
      <c r="L44" s="34">
        <f>Model!M2</f>
        <v>10</v>
      </c>
      <c r="M44" s="34">
        <f>Model!N2</f>
        <v>11</v>
      </c>
      <c r="N44" s="34">
        <f>Model!O2</f>
        <v>12</v>
      </c>
      <c r="O44" s="34">
        <f>Model!P2</f>
        <v>13</v>
      </c>
      <c r="P44" s="34">
        <f>Model!Q2</f>
        <v>14</v>
      </c>
      <c r="Q44" s="34">
        <f>Model!R2</f>
        <v>15</v>
      </c>
      <c r="R44" s="34">
        <f>Model!S2</f>
        <v>16</v>
      </c>
      <c r="S44" s="34">
        <f>Model!T2</f>
        <v>17</v>
      </c>
      <c r="T44" s="34">
        <f>Model!U2</f>
        <v>18</v>
      </c>
      <c r="U44" s="34">
        <f>Model!V2</f>
        <v>19</v>
      </c>
      <c r="V44" s="34">
        <f>Model!W2</f>
        <v>20</v>
      </c>
      <c r="W44" s="34">
        <f>Model!X2</f>
        <v>21</v>
      </c>
      <c r="X44" s="34">
        <f>Model!Y2</f>
        <v>22</v>
      </c>
      <c r="Y44" s="34">
        <f>Model!Z2</f>
        <v>23</v>
      </c>
      <c r="Z44" s="34">
        <f>Model!AA2</f>
        <v>24</v>
      </c>
      <c r="AA44" s="34">
        <f>Model!AB2</f>
        <v>25</v>
      </c>
    </row>
    <row r="45" spans="1:27">
      <c r="A45" s="34" t="s">
        <v>228</v>
      </c>
      <c r="B45" s="69"/>
      <c r="C45" s="34"/>
      <c r="D45" s="34"/>
      <c r="E45" s="34"/>
      <c r="F45" s="34"/>
      <c r="G45" s="34"/>
      <c r="H45" s="34"/>
      <c r="I45" s="34"/>
      <c r="J45" s="34"/>
      <c r="K45" s="34"/>
      <c r="L45" s="34"/>
      <c r="M45" s="34"/>
      <c r="N45" s="34"/>
      <c r="O45" s="34"/>
      <c r="P45" s="34"/>
      <c r="Q45" s="34"/>
      <c r="R45" s="34"/>
      <c r="S45" s="34"/>
      <c r="T45" s="34"/>
      <c r="U45" s="34"/>
      <c r="V45" s="34"/>
      <c r="W45" s="34"/>
      <c r="X45" s="34"/>
      <c r="Y45" s="34"/>
      <c r="Z45" s="34"/>
      <c r="AA45" s="34"/>
    </row>
    <row r="46" spans="1:27">
      <c r="A46" s="34" t="s">
        <v>229</v>
      </c>
      <c r="B46" s="69">
        <v>760</v>
      </c>
      <c r="C46" s="69">
        <v>747</v>
      </c>
      <c r="D46" s="69">
        <v>740</v>
      </c>
      <c r="E46" s="69">
        <v>734</v>
      </c>
      <c r="F46" s="69">
        <v>717</v>
      </c>
      <c r="G46" s="69">
        <v>698</v>
      </c>
      <c r="H46" s="69">
        <v>689</v>
      </c>
      <c r="I46" s="69">
        <v>676</v>
      </c>
      <c r="J46" s="69">
        <v>647</v>
      </c>
      <c r="K46" s="69">
        <v>627</v>
      </c>
      <c r="L46" s="69">
        <v>611</v>
      </c>
      <c r="M46" s="69">
        <v>597</v>
      </c>
      <c r="N46" s="69">
        <v>585</v>
      </c>
      <c r="O46" s="69">
        <v>573</v>
      </c>
      <c r="P46" s="69">
        <v>568</v>
      </c>
      <c r="Q46" s="69">
        <v>562</v>
      </c>
      <c r="R46" s="69">
        <v>558</v>
      </c>
      <c r="S46" s="69">
        <v>555</v>
      </c>
      <c r="T46" s="69">
        <v>552</v>
      </c>
      <c r="U46" s="69">
        <v>550</v>
      </c>
      <c r="V46" s="69">
        <v>548</v>
      </c>
      <c r="W46" s="69">
        <v>547</v>
      </c>
      <c r="X46" s="69">
        <v>545</v>
      </c>
      <c r="Y46" s="69">
        <v>541</v>
      </c>
      <c r="Z46" s="69">
        <v>537</v>
      </c>
      <c r="AA46" s="69">
        <v>538</v>
      </c>
    </row>
    <row r="47" spans="1:27">
      <c r="A47" s="34" t="s">
        <v>230</v>
      </c>
      <c r="B47" s="69">
        <v>1028</v>
      </c>
      <c r="C47" s="69">
        <v>1010</v>
      </c>
      <c r="D47" s="69">
        <v>1000</v>
      </c>
      <c r="E47" s="69">
        <v>994</v>
      </c>
      <c r="F47" s="69">
        <v>968</v>
      </c>
      <c r="G47" s="69">
        <v>942</v>
      </c>
      <c r="H47" s="69">
        <v>926</v>
      </c>
      <c r="I47" s="69">
        <v>906</v>
      </c>
      <c r="J47" s="69">
        <v>870</v>
      </c>
      <c r="K47" s="69">
        <v>844</v>
      </c>
      <c r="L47" s="69">
        <v>822</v>
      </c>
      <c r="M47" s="69">
        <v>800</v>
      </c>
      <c r="N47" s="69">
        <v>782</v>
      </c>
      <c r="O47" s="69">
        <v>764</v>
      </c>
      <c r="P47" s="69">
        <v>756</v>
      </c>
      <c r="Q47" s="69">
        <v>748</v>
      </c>
      <c r="R47" s="69">
        <v>744</v>
      </c>
      <c r="S47" s="69">
        <v>738</v>
      </c>
      <c r="T47" s="69">
        <v>734</v>
      </c>
      <c r="U47" s="69">
        <v>732</v>
      </c>
      <c r="V47" s="69">
        <v>728</v>
      </c>
      <c r="W47" s="69">
        <v>726</v>
      </c>
      <c r="X47" s="69">
        <v>724</v>
      </c>
      <c r="Y47" s="69">
        <v>720</v>
      </c>
      <c r="Z47" s="69">
        <v>716</v>
      </c>
      <c r="AA47" s="69">
        <v>716</v>
      </c>
    </row>
    <row r="48" spans="1:27">
      <c r="A48" s="34" t="s">
        <v>231</v>
      </c>
      <c r="B48" s="69">
        <v>1508</v>
      </c>
      <c r="C48" s="69">
        <v>1484</v>
      </c>
      <c r="D48" s="69">
        <v>1468</v>
      </c>
      <c r="E48" s="69">
        <v>1456</v>
      </c>
      <c r="F48" s="69">
        <v>1420</v>
      </c>
      <c r="G48" s="69">
        <v>1380</v>
      </c>
      <c r="H48" s="69">
        <v>1352</v>
      </c>
      <c r="I48" s="69">
        <v>1320</v>
      </c>
      <c r="J48" s="69">
        <v>1272</v>
      </c>
      <c r="K48" s="69">
        <v>1232</v>
      </c>
      <c r="L48" s="69">
        <v>1196</v>
      </c>
      <c r="M48" s="69">
        <v>1164</v>
      </c>
      <c r="N48" s="69">
        <v>1136</v>
      </c>
      <c r="O48" s="69">
        <v>1108</v>
      </c>
      <c r="P48" s="69">
        <v>1096</v>
      </c>
      <c r="Q48" s="69">
        <v>1084</v>
      </c>
      <c r="R48" s="69">
        <v>1076</v>
      </c>
      <c r="S48" s="69">
        <v>1068</v>
      </c>
      <c r="T48" s="69">
        <v>1060</v>
      </c>
      <c r="U48" s="69">
        <v>1056</v>
      </c>
      <c r="V48" s="69">
        <v>1052</v>
      </c>
      <c r="W48" s="69">
        <v>1048</v>
      </c>
      <c r="X48" s="69">
        <v>1048</v>
      </c>
      <c r="Y48" s="69">
        <v>1040</v>
      </c>
      <c r="Z48" s="69">
        <v>1036</v>
      </c>
      <c r="AA48" s="69">
        <v>1036</v>
      </c>
    </row>
    <row r="49" spans="1:27">
      <c r="A49" s="34" t="s">
        <v>232</v>
      </c>
      <c r="B49" s="69">
        <v>2408</v>
      </c>
      <c r="C49" s="69">
        <v>2376</v>
      </c>
      <c r="D49" s="69">
        <v>2352</v>
      </c>
      <c r="E49" s="69">
        <v>2336</v>
      </c>
      <c r="F49" s="69">
        <v>2272</v>
      </c>
      <c r="G49" s="69">
        <v>2208</v>
      </c>
      <c r="H49" s="69">
        <v>2152</v>
      </c>
      <c r="I49" s="69">
        <v>2096</v>
      </c>
      <c r="J49" s="69">
        <v>2024</v>
      </c>
      <c r="K49" s="69">
        <v>1968</v>
      </c>
      <c r="L49" s="69">
        <v>1912</v>
      </c>
      <c r="M49" s="69">
        <v>1856</v>
      </c>
      <c r="N49" s="69">
        <v>1808</v>
      </c>
      <c r="O49" s="69">
        <v>1760</v>
      </c>
      <c r="P49" s="69">
        <v>1736</v>
      </c>
      <c r="Q49" s="69">
        <v>1720</v>
      </c>
      <c r="R49" s="69">
        <v>1704</v>
      </c>
      <c r="S49" s="69">
        <v>1688</v>
      </c>
      <c r="T49" s="69">
        <v>1680</v>
      </c>
      <c r="U49" s="69">
        <v>1672</v>
      </c>
      <c r="V49" s="69">
        <v>1664</v>
      </c>
      <c r="W49" s="69">
        <v>1656</v>
      </c>
      <c r="X49" s="69">
        <v>1656</v>
      </c>
      <c r="Y49" s="69">
        <v>1648</v>
      </c>
      <c r="Z49" s="69">
        <v>1640</v>
      </c>
      <c r="AA49" s="69">
        <v>1640</v>
      </c>
    </row>
    <row r="50" spans="1:27">
      <c r="A50" s="34" t="s">
        <v>233</v>
      </c>
      <c r="B50" s="69">
        <v>1381</v>
      </c>
      <c r="C50" s="69">
        <v>1187</v>
      </c>
      <c r="D50" s="69">
        <v>1066</v>
      </c>
      <c r="E50" s="69">
        <v>989</v>
      </c>
      <c r="F50" s="69">
        <v>930</v>
      </c>
      <c r="G50" s="69">
        <v>872</v>
      </c>
      <c r="H50" s="69">
        <v>831</v>
      </c>
      <c r="I50" s="69">
        <v>806</v>
      </c>
      <c r="J50" s="69">
        <v>788</v>
      </c>
      <c r="K50" s="69">
        <v>772</v>
      </c>
      <c r="L50" s="69">
        <v>759</v>
      </c>
      <c r="M50" s="69">
        <v>749</v>
      </c>
      <c r="N50" s="69">
        <v>742</v>
      </c>
      <c r="O50" s="69">
        <v>734</v>
      </c>
      <c r="P50" s="69">
        <v>725</v>
      </c>
      <c r="Q50" s="69">
        <v>717</v>
      </c>
      <c r="R50" s="69">
        <v>709</v>
      </c>
      <c r="S50" s="69">
        <v>704</v>
      </c>
      <c r="T50" s="69">
        <v>698</v>
      </c>
      <c r="U50" s="69">
        <v>691</v>
      </c>
      <c r="V50" s="69">
        <v>685</v>
      </c>
      <c r="W50" s="69">
        <v>679</v>
      </c>
      <c r="X50" s="69">
        <v>675</v>
      </c>
      <c r="Y50" s="69">
        <v>668</v>
      </c>
      <c r="Z50" s="69">
        <v>664</v>
      </c>
      <c r="AA50" s="69">
        <v>660</v>
      </c>
    </row>
    <row r="51" spans="1:27">
      <c r="A51" s="34" t="s">
        <v>234</v>
      </c>
      <c r="B51" s="69">
        <v>3108</v>
      </c>
      <c r="C51" s="69">
        <v>2976</v>
      </c>
      <c r="D51" s="69">
        <v>2855</v>
      </c>
      <c r="E51" s="69">
        <v>2742</v>
      </c>
      <c r="F51" s="69">
        <v>2636</v>
      </c>
      <c r="G51" s="69">
        <v>2536</v>
      </c>
      <c r="H51" s="69">
        <v>2445</v>
      </c>
      <c r="I51" s="69">
        <v>2365</v>
      </c>
      <c r="J51" s="69">
        <v>2301</v>
      </c>
      <c r="K51" s="69">
        <v>2285</v>
      </c>
      <c r="L51" s="69">
        <v>2252</v>
      </c>
      <c r="M51" s="69">
        <v>2244</v>
      </c>
      <c r="N51" s="69">
        <v>2235</v>
      </c>
      <c r="O51" s="69">
        <v>2217</v>
      </c>
      <c r="P51" s="69">
        <v>2201</v>
      </c>
      <c r="Q51" s="69">
        <v>2182</v>
      </c>
      <c r="R51" s="69">
        <v>2169</v>
      </c>
      <c r="S51" s="69">
        <v>2160</v>
      </c>
      <c r="T51" s="69">
        <v>2154</v>
      </c>
      <c r="U51" s="69">
        <v>2148</v>
      </c>
      <c r="V51" s="69">
        <v>2144</v>
      </c>
      <c r="W51" s="69">
        <v>2141</v>
      </c>
      <c r="X51" s="69">
        <v>2139</v>
      </c>
      <c r="Y51" s="69">
        <v>2138</v>
      </c>
      <c r="Z51" s="69">
        <v>2137</v>
      </c>
      <c r="AA51" s="69">
        <v>2136</v>
      </c>
    </row>
    <row r="52" spans="1:27">
      <c r="A52" s="32" t="s">
        <v>235</v>
      </c>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row>
    <row r="53" spans="1:27">
      <c r="A53" s="34" t="s">
        <v>236</v>
      </c>
      <c r="B53" s="69">
        <v>2824</v>
      </c>
      <c r="C53" s="69">
        <v>2716</v>
      </c>
      <c r="D53" s="69">
        <v>2566</v>
      </c>
      <c r="E53" s="69">
        <v>2427</v>
      </c>
      <c r="F53" s="69">
        <v>2296</v>
      </c>
      <c r="G53" s="69">
        <v>2173</v>
      </c>
      <c r="H53" s="69">
        <v>2056</v>
      </c>
      <c r="I53" s="69">
        <v>1946</v>
      </c>
      <c r="J53" s="69">
        <v>1842</v>
      </c>
      <c r="K53" s="69">
        <v>1776</v>
      </c>
      <c r="L53" s="69">
        <v>1747</v>
      </c>
      <c r="M53" s="69">
        <v>1752</v>
      </c>
      <c r="N53" s="69">
        <v>1757</v>
      </c>
      <c r="O53" s="69">
        <v>1762</v>
      </c>
      <c r="P53" s="69">
        <v>1767</v>
      </c>
      <c r="Q53" s="69">
        <v>1770</v>
      </c>
      <c r="R53" s="69">
        <v>1773</v>
      </c>
      <c r="S53" s="69">
        <v>1776</v>
      </c>
      <c r="T53" s="69">
        <v>1780</v>
      </c>
      <c r="U53" s="69">
        <v>1783</v>
      </c>
      <c r="V53" s="69">
        <v>1786</v>
      </c>
      <c r="W53" s="69">
        <v>1789</v>
      </c>
      <c r="X53" s="69">
        <v>1792</v>
      </c>
      <c r="Y53" s="69">
        <v>1795</v>
      </c>
      <c r="Z53" s="69">
        <v>1798</v>
      </c>
      <c r="AA53" s="69">
        <v>1801</v>
      </c>
    </row>
    <row r="54" spans="1:27">
      <c r="A54" s="34" t="s">
        <v>237</v>
      </c>
      <c r="B54" s="69">
        <v>1694</v>
      </c>
      <c r="C54" s="69">
        <v>1629</v>
      </c>
      <c r="D54" s="69">
        <v>1540</v>
      </c>
      <c r="E54" s="69">
        <v>1456</v>
      </c>
      <c r="F54" s="69">
        <v>1377</v>
      </c>
      <c r="G54" s="69">
        <v>1304</v>
      </c>
      <c r="H54" s="69">
        <v>1233</v>
      </c>
      <c r="I54" s="69">
        <v>1167</v>
      </c>
      <c r="J54" s="69">
        <v>1105</v>
      </c>
      <c r="K54" s="69">
        <v>1066</v>
      </c>
      <c r="L54" s="69">
        <v>1048</v>
      </c>
      <c r="M54" s="69">
        <v>1051</v>
      </c>
      <c r="N54" s="69">
        <v>1054</v>
      </c>
      <c r="O54" s="69">
        <v>1057</v>
      </c>
      <c r="P54" s="69">
        <v>1060</v>
      </c>
      <c r="Q54" s="69">
        <v>1062</v>
      </c>
      <c r="R54" s="69">
        <v>1064</v>
      </c>
      <c r="S54" s="69">
        <v>1066</v>
      </c>
      <c r="T54" s="69">
        <v>1068</v>
      </c>
      <c r="U54" s="69">
        <v>1070</v>
      </c>
      <c r="V54" s="69">
        <v>1071</v>
      </c>
      <c r="W54" s="69">
        <v>1073</v>
      </c>
      <c r="X54" s="69">
        <v>1075</v>
      </c>
      <c r="Y54" s="69">
        <v>1077</v>
      </c>
      <c r="Z54" s="69">
        <v>1079</v>
      </c>
      <c r="AA54" s="69">
        <v>1081</v>
      </c>
    </row>
    <row r="55" spans="1:27">
      <c r="A55" s="35"/>
      <c r="B55" s="36"/>
      <c r="C55" s="34"/>
      <c r="D55" s="34"/>
      <c r="E55" s="34"/>
      <c r="F55" s="34"/>
      <c r="G55" s="34"/>
      <c r="H55" s="34"/>
      <c r="I55" s="34"/>
      <c r="J55" s="34"/>
      <c r="K55" s="34"/>
      <c r="L55" s="34"/>
      <c r="M55" s="34"/>
      <c r="N55" s="34"/>
      <c r="O55" s="34"/>
      <c r="P55" s="34"/>
      <c r="Q55" s="34"/>
      <c r="R55" s="34"/>
      <c r="S55" s="34"/>
      <c r="T55" s="34"/>
      <c r="U55" s="34"/>
      <c r="V55" s="34"/>
      <c r="W55" s="34"/>
      <c r="X55" s="34"/>
      <c r="Y55" s="34"/>
      <c r="Z55" s="34"/>
      <c r="AA55" s="34"/>
    </row>
    <row r="56" spans="1:27">
      <c r="A56" s="32" t="s">
        <v>238</v>
      </c>
      <c r="B56" s="36"/>
      <c r="C56" s="34"/>
      <c r="D56" s="34"/>
      <c r="E56" s="34"/>
      <c r="F56" s="34"/>
      <c r="G56" s="34"/>
      <c r="H56" s="34"/>
      <c r="I56" s="34"/>
      <c r="J56" s="34"/>
      <c r="K56" s="34"/>
      <c r="L56" s="34"/>
      <c r="M56" s="34"/>
      <c r="N56" s="34"/>
      <c r="O56" s="34"/>
      <c r="P56" s="34"/>
      <c r="Q56" s="34"/>
      <c r="R56" s="34"/>
      <c r="S56" s="34"/>
      <c r="T56" s="34"/>
      <c r="U56" s="34"/>
      <c r="V56" s="34"/>
      <c r="W56" s="34"/>
      <c r="X56" s="34"/>
      <c r="Y56" s="34"/>
      <c r="Z56" s="34"/>
      <c r="AA56" s="34"/>
    </row>
    <row r="57" spans="1:27">
      <c r="A57" s="34" t="s">
        <v>239</v>
      </c>
      <c r="B57" s="36"/>
      <c r="C57" s="34"/>
      <c r="D57" s="34"/>
      <c r="E57" s="34"/>
      <c r="F57" s="34"/>
      <c r="G57" s="34"/>
      <c r="H57" s="34"/>
      <c r="I57" s="34"/>
      <c r="J57" s="34"/>
      <c r="K57" s="34"/>
      <c r="L57" s="34"/>
      <c r="M57" s="34"/>
      <c r="N57" s="34"/>
      <c r="O57" s="34"/>
      <c r="P57" s="34"/>
      <c r="Q57" s="34"/>
      <c r="R57" s="34"/>
      <c r="S57" s="34"/>
      <c r="T57" s="34"/>
      <c r="U57" s="34"/>
      <c r="V57" s="34"/>
      <c r="W57" s="34"/>
      <c r="X57" s="34"/>
      <c r="Y57" s="34"/>
      <c r="Z57" s="34"/>
      <c r="AA57" s="34"/>
    </row>
    <row r="58" spans="1:27">
      <c r="A58" s="34"/>
      <c r="B58" s="36"/>
      <c r="C58" s="34"/>
      <c r="D58" s="34"/>
      <c r="E58" s="34"/>
      <c r="F58" s="34"/>
      <c r="G58" s="34"/>
      <c r="H58" s="34"/>
      <c r="I58" s="34"/>
      <c r="J58" s="34"/>
      <c r="K58" s="34"/>
      <c r="L58" s="34"/>
      <c r="M58" s="34"/>
      <c r="N58" s="34"/>
      <c r="O58" s="34"/>
      <c r="P58" s="34"/>
      <c r="Q58" s="34"/>
      <c r="R58" s="34"/>
      <c r="S58" s="34"/>
      <c r="T58" s="34"/>
      <c r="U58" s="34"/>
      <c r="V58" s="34"/>
      <c r="W58" s="34"/>
      <c r="X58" s="34"/>
      <c r="Y58" s="34"/>
      <c r="Z58" s="34"/>
      <c r="AA58" s="34"/>
    </row>
    <row r="59" spans="1:27">
      <c r="A59" s="34" t="s">
        <v>240</v>
      </c>
      <c r="B59" s="36"/>
      <c r="C59" s="34"/>
      <c r="D59" s="34"/>
      <c r="E59" s="34"/>
      <c r="F59" s="34"/>
      <c r="G59" s="34"/>
      <c r="H59" s="34"/>
      <c r="I59" s="34"/>
      <c r="J59" s="34"/>
      <c r="K59" s="34"/>
      <c r="L59" s="34"/>
      <c r="M59" s="34"/>
      <c r="N59" s="34"/>
      <c r="O59" s="34"/>
      <c r="P59" s="34"/>
      <c r="Q59" s="34"/>
      <c r="R59" s="34"/>
      <c r="S59" s="34"/>
      <c r="T59" s="34"/>
      <c r="U59" s="34"/>
      <c r="V59" s="34"/>
      <c r="W59" s="34"/>
      <c r="X59" s="34"/>
      <c r="Y59" s="34"/>
      <c r="Z59" s="34"/>
      <c r="AA59" s="34"/>
    </row>
    <row r="60" spans="1:27">
      <c r="A60" s="38" t="s">
        <v>241</v>
      </c>
      <c r="B60" s="69">
        <f t="shared" ref="B60:AA60" si="0">Batt_w1h*B46+Batt_w2h*B47+Batt_w4h*B48+Batt_w8h*B49</f>
        <v>1517.1999999999998</v>
      </c>
      <c r="C60" s="69">
        <f t="shared" si="0"/>
        <v>1493.9</v>
      </c>
      <c r="D60" s="69">
        <f t="shared" si="0"/>
        <v>1478.4</v>
      </c>
      <c r="E60" s="69">
        <f t="shared" si="0"/>
        <v>1467.4</v>
      </c>
      <c r="F60" s="69">
        <f t="shared" si="0"/>
        <v>1429.7</v>
      </c>
      <c r="G60" s="69">
        <f t="shared" si="0"/>
        <v>1389.8000000000002</v>
      </c>
      <c r="H60" s="69">
        <f t="shared" si="0"/>
        <v>1360.5</v>
      </c>
      <c r="I60" s="69">
        <f t="shared" si="0"/>
        <v>1328</v>
      </c>
      <c r="J60" s="69">
        <f t="shared" si="0"/>
        <v>1279.5</v>
      </c>
      <c r="K60" s="69">
        <f t="shared" si="0"/>
        <v>1241.0999999999999</v>
      </c>
      <c r="L60" s="69">
        <f t="shared" si="0"/>
        <v>1205.9000000000001</v>
      </c>
      <c r="M60" s="69">
        <f t="shared" si="0"/>
        <v>1172.9000000000001</v>
      </c>
      <c r="N60" s="69">
        <f t="shared" si="0"/>
        <v>1144.5</v>
      </c>
      <c r="O60" s="69">
        <f t="shared" si="0"/>
        <v>1116.0999999999999</v>
      </c>
      <c r="P60" s="69">
        <f t="shared" si="0"/>
        <v>1103.2</v>
      </c>
      <c r="Q60" s="69">
        <f t="shared" si="0"/>
        <v>1091.8</v>
      </c>
      <c r="R60" s="69">
        <f t="shared" si="0"/>
        <v>1083.4000000000001</v>
      </c>
      <c r="S60" s="69">
        <f t="shared" si="0"/>
        <v>1074.7</v>
      </c>
      <c r="T60" s="69">
        <f t="shared" si="0"/>
        <v>1068</v>
      </c>
      <c r="U60" s="69">
        <f t="shared" si="0"/>
        <v>1063.8</v>
      </c>
      <c r="V60" s="69">
        <f t="shared" si="0"/>
        <v>1059.2</v>
      </c>
      <c r="W60" s="69">
        <f t="shared" si="0"/>
        <v>1055.1000000000001</v>
      </c>
      <c r="X60" s="69">
        <f t="shared" si="0"/>
        <v>1054.5</v>
      </c>
      <c r="Y60" s="69">
        <f t="shared" si="0"/>
        <v>1047.7</v>
      </c>
      <c r="Z60" s="69">
        <f t="shared" si="0"/>
        <v>1042.9000000000001</v>
      </c>
      <c r="AA60" s="69">
        <f t="shared" si="0"/>
        <v>1043</v>
      </c>
    </row>
    <row r="61" spans="1:27">
      <c r="A61" s="34" t="s">
        <v>242</v>
      </c>
      <c r="B61" s="69">
        <f t="shared" ref="B61:AA61" si="1">Alpha_Solar*VRE_Ratio*B50</f>
        <v>2775.8100000000004</v>
      </c>
      <c r="C61" s="69">
        <f t="shared" si="1"/>
        <v>2385.8700000000003</v>
      </c>
      <c r="D61" s="69">
        <f t="shared" si="1"/>
        <v>2142.6600000000003</v>
      </c>
      <c r="E61" s="69">
        <f t="shared" si="1"/>
        <v>1987.8900000000003</v>
      </c>
      <c r="F61" s="69">
        <f t="shared" si="1"/>
        <v>1869.3000000000002</v>
      </c>
      <c r="G61" s="69">
        <f t="shared" si="1"/>
        <v>1752.7200000000003</v>
      </c>
      <c r="H61" s="69">
        <f t="shared" si="1"/>
        <v>1670.3100000000002</v>
      </c>
      <c r="I61" s="69">
        <f t="shared" si="1"/>
        <v>1620.0600000000002</v>
      </c>
      <c r="J61" s="69">
        <f t="shared" si="1"/>
        <v>1583.88</v>
      </c>
      <c r="K61" s="69">
        <f t="shared" si="1"/>
        <v>1551.7200000000003</v>
      </c>
      <c r="L61" s="69">
        <f t="shared" si="1"/>
        <v>1525.5900000000001</v>
      </c>
      <c r="M61" s="69">
        <f t="shared" si="1"/>
        <v>1505.4900000000002</v>
      </c>
      <c r="N61" s="69">
        <f t="shared" si="1"/>
        <v>1491.42</v>
      </c>
      <c r="O61" s="69">
        <f t="shared" si="1"/>
        <v>1475.3400000000001</v>
      </c>
      <c r="P61" s="69">
        <f t="shared" si="1"/>
        <v>1457.2500000000002</v>
      </c>
      <c r="Q61" s="69">
        <f t="shared" si="1"/>
        <v>1441.17</v>
      </c>
      <c r="R61" s="69">
        <f t="shared" si="1"/>
        <v>1425.0900000000001</v>
      </c>
      <c r="S61" s="69">
        <f t="shared" si="1"/>
        <v>1415.0400000000002</v>
      </c>
      <c r="T61" s="69">
        <f t="shared" si="1"/>
        <v>1402.9800000000002</v>
      </c>
      <c r="U61" s="69">
        <f t="shared" si="1"/>
        <v>1388.91</v>
      </c>
      <c r="V61" s="69">
        <f t="shared" si="1"/>
        <v>1376.8500000000001</v>
      </c>
      <c r="W61" s="69">
        <f t="shared" si="1"/>
        <v>1364.7900000000002</v>
      </c>
      <c r="X61" s="69">
        <f t="shared" si="1"/>
        <v>1356.7500000000002</v>
      </c>
      <c r="Y61" s="69">
        <f t="shared" si="1"/>
        <v>1342.68</v>
      </c>
      <c r="Z61" s="69">
        <f t="shared" si="1"/>
        <v>1334.64</v>
      </c>
      <c r="AA61" s="69">
        <f t="shared" si="1"/>
        <v>1326.6000000000001</v>
      </c>
    </row>
    <row r="62" spans="1:27">
      <c r="A62" s="34" t="s">
        <v>243</v>
      </c>
      <c r="B62" s="69">
        <f t="shared" ref="B62:AA62" si="2">Alpha_Wind*VRE_Ratio*B51</f>
        <v>3076.9199999999996</v>
      </c>
      <c r="C62" s="69">
        <f t="shared" si="2"/>
        <v>2946.24</v>
      </c>
      <c r="D62" s="69">
        <f t="shared" si="2"/>
        <v>2826.45</v>
      </c>
      <c r="E62" s="69">
        <f t="shared" si="2"/>
        <v>2714.5799999999995</v>
      </c>
      <c r="F62" s="69">
        <f t="shared" si="2"/>
        <v>2609.64</v>
      </c>
      <c r="G62" s="69">
        <f t="shared" si="2"/>
        <v>2510.64</v>
      </c>
      <c r="H62" s="69">
        <f t="shared" si="2"/>
        <v>2420.5499999999997</v>
      </c>
      <c r="I62" s="69">
        <f t="shared" si="2"/>
        <v>2341.35</v>
      </c>
      <c r="J62" s="69">
        <f t="shared" si="2"/>
        <v>2277.9899999999998</v>
      </c>
      <c r="K62" s="69">
        <f t="shared" si="2"/>
        <v>2262.1499999999996</v>
      </c>
      <c r="L62" s="69">
        <f t="shared" si="2"/>
        <v>2229.4799999999996</v>
      </c>
      <c r="M62" s="69">
        <f t="shared" si="2"/>
        <v>2221.56</v>
      </c>
      <c r="N62" s="69">
        <f t="shared" si="2"/>
        <v>2212.6499999999996</v>
      </c>
      <c r="O62" s="69">
        <f t="shared" si="2"/>
        <v>2194.83</v>
      </c>
      <c r="P62" s="69">
        <f t="shared" si="2"/>
        <v>2178.9899999999998</v>
      </c>
      <c r="Q62" s="69">
        <f t="shared" si="2"/>
        <v>2160.1799999999998</v>
      </c>
      <c r="R62" s="69">
        <f t="shared" si="2"/>
        <v>2147.31</v>
      </c>
      <c r="S62" s="69">
        <f t="shared" si="2"/>
        <v>2138.3999999999996</v>
      </c>
      <c r="T62" s="69">
        <f t="shared" si="2"/>
        <v>2132.4599999999996</v>
      </c>
      <c r="U62" s="69">
        <f t="shared" si="2"/>
        <v>2126.5199999999995</v>
      </c>
      <c r="V62" s="69">
        <f t="shared" si="2"/>
        <v>2122.56</v>
      </c>
      <c r="W62" s="69">
        <f t="shared" si="2"/>
        <v>2119.5899999999997</v>
      </c>
      <c r="X62" s="69">
        <f t="shared" si="2"/>
        <v>2117.6099999999997</v>
      </c>
      <c r="Y62" s="69">
        <f t="shared" si="2"/>
        <v>2116.62</v>
      </c>
      <c r="Z62" s="69">
        <f t="shared" si="2"/>
        <v>2115.6299999999997</v>
      </c>
      <c r="AA62" s="69">
        <f t="shared" si="2"/>
        <v>2114.64</v>
      </c>
    </row>
    <row r="63" spans="1:27">
      <c r="A63" s="39"/>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row>
    <row r="64" spans="1:27">
      <c r="A64" s="75" t="s">
        <v>244</v>
      </c>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row>
    <row r="65" spans="1:27">
      <c r="A65" s="34" t="s">
        <v>245</v>
      </c>
      <c r="B65" s="69">
        <f t="shared" ref="B65:AA65" si="3">PMT(Batt_WACC,$B$13,B60)*-1</f>
        <v>154.5301712264841</v>
      </c>
      <c r="C65" s="69">
        <f t="shared" si="3"/>
        <v>152.15701476090473</v>
      </c>
      <c r="D65" s="69">
        <f t="shared" si="3"/>
        <v>150.57830552414589</v>
      </c>
      <c r="E65" s="69">
        <f t="shared" si="3"/>
        <v>149.45793122709122</v>
      </c>
      <c r="F65" s="69">
        <f t="shared" si="3"/>
        <v>145.61810295445844</v>
      </c>
      <c r="G65" s="69">
        <f t="shared" si="3"/>
        <v>141.55419982241477</v>
      </c>
      <c r="H65" s="69">
        <f t="shared" si="3"/>
        <v>138.56993010389644</v>
      </c>
      <c r="I65" s="69">
        <f t="shared" si="3"/>
        <v>135.25973331714403</v>
      </c>
      <c r="J65" s="69">
        <f t="shared" si="3"/>
        <v>130.31990118922121</v>
      </c>
      <c r="K65" s="69">
        <f t="shared" si="3"/>
        <v>126.40877637041224</v>
      </c>
      <c r="L65" s="69">
        <f t="shared" si="3"/>
        <v>122.82357861983733</v>
      </c>
      <c r="M65" s="69">
        <f t="shared" si="3"/>
        <v>119.46245572867338</v>
      </c>
      <c r="N65" s="69">
        <f t="shared" si="3"/>
        <v>116.56985299809588</v>
      </c>
      <c r="O65" s="69">
        <f t="shared" si="3"/>
        <v>113.67725026751839</v>
      </c>
      <c r="P65" s="69">
        <f t="shared" si="3"/>
        <v>112.36335677369976</v>
      </c>
      <c r="Q65" s="69">
        <f t="shared" si="3"/>
        <v>111.20224159311586</v>
      </c>
      <c r="R65" s="69">
        <f t="shared" si="3"/>
        <v>110.34668303900141</v>
      </c>
      <c r="S65" s="69">
        <f t="shared" si="3"/>
        <v>109.46056882223999</v>
      </c>
      <c r="T65" s="69">
        <f t="shared" si="3"/>
        <v>108.77815902312487</v>
      </c>
      <c r="U65" s="69">
        <f t="shared" si="3"/>
        <v>108.35037974606763</v>
      </c>
      <c r="V65" s="69">
        <f t="shared" si="3"/>
        <v>107.88185958548115</v>
      </c>
      <c r="W65" s="69">
        <f t="shared" si="3"/>
        <v>107.46426552930623</v>
      </c>
      <c r="X65" s="69">
        <f t="shared" si="3"/>
        <v>107.40315420401234</v>
      </c>
      <c r="Y65" s="69">
        <f t="shared" si="3"/>
        <v>106.71055918401491</v>
      </c>
      <c r="Z65" s="69">
        <f t="shared" si="3"/>
        <v>106.22166858166381</v>
      </c>
      <c r="AA65" s="69">
        <f t="shared" si="3"/>
        <v>106.2318538025461</v>
      </c>
    </row>
    <row r="66" spans="1:27">
      <c r="A66" t="s">
        <v>246</v>
      </c>
      <c r="B66" s="69">
        <f t="shared" ref="B66:AA66" si="4">Batt_w1h*7+Batt_w2h*8+Batt_w4h*10+Batt_w8h*13</f>
        <v>9.9</v>
      </c>
      <c r="C66" s="69">
        <f t="shared" si="4"/>
        <v>9.9</v>
      </c>
      <c r="D66" s="69">
        <f t="shared" si="4"/>
        <v>9.9</v>
      </c>
      <c r="E66" s="69">
        <f t="shared" si="4"/>
        <v>9.9</v>
      </c>
      <c r="F66" s="69">
        <f t="shared" si="4"/>
        <v>9.9</v>
      </c>
      <c r="G66" s="69">
        <f t="shared" si="4"/>
        <v>9.9</v>
      </c>
      <c r="H66" s="69">
        <f t="shared" si="4"/>
        <v>9.9</v>
      </c>
      <c r="I66" s="69">
        <f t="shared" si="4"/>
        <v>9.9</v>
      </c>
      <c r="J66" s="69">
        <f t="shared" si="4"/>
        <v>9.9</v>
      </c>
      <c r="K66" s="69">
        <f t="shared" si="4"/>
        <v>9.9</v>
      </c>
      <c r="L66" s="69">
        <f t="shared" si="4"/>
        <v>9.9</v>
      </c>
      <c r="M66" s="69">
        <f t="shared" si="4"/>
        <v>9.9</v>
      </c>
      <c r="N66" s="69">
        <f t="shared" si="4"/>
        <v>9.9</v>
      </c>
      <c r="O66" s="69">
        <f t="shared" si="4"/>
        <v>9.9</v>
      </c>
      <c r="P66" s="69">
        <f t="shared" si="4"/>
        <v>9.9</v>
      </c>
      <c r="Q66" s="69">
        <f t="shared" si="4"/>
        <v>9.9</v>
      </c>
      <c r="R66" s="69">
        <f t="shared" si="4"/>
        <v>9.9</v>
      </c>
      <c r="S66" s="69">
        <f t="shared" si="4"/>
        <v>9.9</v>
      </c>
      <c r="T66" s="69">
        <f t="shared" si="4"/>
        <v>9.9</v>
      </c>
      <c r="U66" s="69">
        <f t="shared" si="4"/>
        <v>9.9</v>
      </c>
      <c r="V66" s="69">
        <f t="shared" si="4"/>
        <v>9.9</v>
      </c>
      <c r="W66" s="69">
        <f t="shared" si="4"/>
        <v>9.9</v>
      </c>
      <c r="X66" s="69">
        <f t="shared" si="4"/>
        <v>9.9</v>
      </c>
      <c r="Y66" s="69">
        <f t="shared" si="4"/>
        <v>9.9</v>
      </c>
      <c r="Z66" s="69">
        <f t="shared" si="4"/>
        <v>9.9</v>
      </c>
      <c r="AA66" s="69">
        <f t="shared" si="4"/>
        <v>9.9</v>
      </c>
    </row>
    <row r="67" spans="1:27">
      <c r="A67" s="34" t="s">
        <v>247</v>
      </c>
      <c r="B67" s="69">
        <f t="shared" ref="B67:AA67" si="5">PMT(Batt_WACC,$B$13,Repl_Frac*B60*(1+Batt_WACC)^(-Repl_Year))*-1</f>
        <v>30.683028559978858</v>
      </c>
      <c r="C67" s="69">
        <f t="shared" si="5"/>
        <v>30.211822018028226</v>
      </c>
      <c r="D67" s="69">
        <f t="shared" si="5"/>
        <v>29.898358438618999</v>
      </c>
      <c r="E67" s="69">
        <f t="shared" si="5"/>
        <v>29.675900414522136</v>
      </c>
      <c r="F67" s="69">
        <f t="shared" si="5"/>
        <v>28.913476095571959</v>
      </c>
      <c r="G67" s="69">
        <f t="shared" si="5"/>
        <v>28.106560171802414</v>
      </c>
      <c r="H67" s="69">
        <f t="shared" si="5"/>
        <v>27.5140128894353</v>
      </c>
      <c r="I67" s="69">
        <f t="shared" si="5"/>
        <v>26.856750545512739</v>
      </c>
      <c r="J67" s="69">
        <f t="shared" si="5"/>
        <v>25.875912893812909</v>
      </c>
      <c r="K67" s="69">
        <f t="shared" si="5"/>
        <v>25.099332155147483</v>
      </c>
      <c r="L67" s="69">
        <f t="shared" si="5"/>
        <v>24.38746647803751</v>
      </c>
      <c r="M67" s="69">
        <f t="shared" si="5"/>
        <v>23.720092405746904</v>
      </c>
      <c r="N67" s="69">
        <f t="shared" si="5"/>
        <v>23.145746234442264</v>
      </c>
      <c r="O67" s="69">
        <f t="shared" si="5"/>
        <v>22.57140006313762</v>
      </c>
      <c r="P67" s="69">
        <f t="shared" si="5"/>
        <v>22.310517471242211</v>
      </c>
      <c r="Q67" s="69">
        <f t="shared" si="5"/>
        <v>22.079970064450904</v>
      </c>
      <c r="R67" s="69">
        <f t="shared" si="5"/>
        <v>21.910093027867848</v>
      </c>
      <c r="S67" s="69">
        <f t="shared" si="5"/>
        <v>21.734148954263961</v>
      </c>
      <c r="T67" s="69">
        <f t="shared" si="5"/>
        <v>21.59865179413223</v>
      </c>
      <c r="U67" s="69">
        <f t="shared" si="5"/>
        <v>21.513713275840701</v>
      </c>
      <c r="V67" s="69">
        <f t="shared" si="5"/>
        <v>21.420685374854738</v>
      </c>
      <c r="W67" s="69">
        <f t="shared" si="5"/>
        <v>21.337769202236817</v>
      </c>
      <c r="X67" s="69">
        <f t="shared" si="5"/>
        <v>21.325635128195167</v>
      </c>
      <c r="Y67" s="69">
        <f t="shared" si="5"/>
        <v>21.188115622389827</v>
      </c>
      <c r="Z67" s="69">
        <f t="shared" si="5"/>
        <v>21.091043030056653</v>
      </c>
      <c r="AA67" s="69">
        <f t="shared" si="5"/>
        <v>21.093065375730259</v>
      </c>
    </row>
    <row r="68" spans="1:27">
      <c r="A68" s="34" t="s">
        <v>248</v>
      </c>
      <c r="B68" s="69">
        <f t="shared" ref="B68:AA68" si="6">PMT(VRE_WACC_S,$B$14,B61)*-1</f>
        <v>223.69254473017762</v>
      </c>
      <c r="C68" s="69">
        <f t="shared" si="6"/>
        <v>192.26868254505493</v>
      </c>
      <c r="D68" s="69">
        <f t="shared" si="6"/>
        <v>172.66926334711755</v>
      </c>
      <c r="E68" s="69">
        <f t="shared" si="6"/>
        <v>160.19690567570288</v>
      </c>
      <c r="F68" s="69">
        <f t="shared" si="6"/>
        <v>150.6401640833202</v>
      </c>
      <c r="G68" s="69">
        <f t="shared" si="6"/>
        <v>141.24540116199483</v>
      </c>
      <c r="H68" s="69">
        <f t="shared" si="6"/>
        <v>134.60427564864418</v>
      </c>
      <c r="I68" s="69">
        <f t="shared" si="6"/>
        <v>130.55480887221083</v>
      </c>
      <c r="J68" s="69">
        <f t="shared" si="6"/>
        <v>127.63919279317881</v>
      </c>
      <c r="K68" s="69">
        <f t="shared" si="6"/>
        <v>125.0475340562615</v>
      </c>
      <c r="L68" s="69">
        <f t="shared" si="6"/>
        <v>122.94181133251615</v>
      </c>
      <c r="M68" s="69">
        <f t="shared" si="6"/>
        <v>121.32202462194282</v>
      </c>
      <c r="N68" s="69">
        <f t="shared" si="6"/>
        <v>120.18817392454147</v>
      </c>
      <c r="O68" s="69">
        <f t="shared" si="6"/>
        <v>118.89234455608282</v>
      </c>
      <c r="P68" s="69">
        <f t="shared" si="6"/>
        <v>117.43453651656682</v>
      </c>
      <c r="Q68" s="69">
        <f t="shared" si="6"/>
        <v>116.13870714810814</v>
      </c>
      <c r="R68" s="69">
        <f t="shared" si="6"/>
        <v>114.84287777964947</v>
      </c>
      <c r="S68" s="69">
        <f t="shared" si="6"/>
        <v>114.03298442436281</v>
      </c>
      <c r="T68" s="69">
        <f t="shared" si="6"/>
        <v>113.06111239801881</v>
      </c>
      <c r="U68" s="69">
        <f t="shared" si="6"/>
        <v>111.92726170061746</v>
      </c>
      <c r="V68" s="69">
        <f t="shared" si="6"/>
        <v>110.95538967427346</v>
      </c>
      <c r="W68" s="69">
        <f t="shared" si="6"/>
        <v>109.98351764792947</v>
      </c>
      <c r="X68" s="69">
        <f t="shared" si="6"/>
        <v>109.33560296370014</v>
      </c>
      <c r="Y68" s="69">
        <f t="shared" si="6"/>
        <v>108.2017522662988</v>
      </c>
      <c r="Z68" s="69">
        <f t="shared" si="6"/>
        <v>107.55383758206946</v>
      </c>
      <c r="AA68" s="69">
        <f t="shared" si="6"/>
        <v>106.90592289784013</v>
      </c>
    </row>
    <row r="69" spans="1:27">
      <c r="A69" s="34" t="s">
        <v>249</v>
      </c>
      <c r="B69" s="69">
        <f t="shared" ref="B69:AA69" si="7">12*Alpha_Solar*VRE_Ratio</f>
        <v>24.120000000000005</v>
      </c>
      <c r="C69" s="69">
        <f t="shared" si="7"/>
        <v>24.120000000000005</v>
      </c>
      <c r="D69" s="69">
        <f t="shared" si="7"/>
        <v>24.120000000000005</v>
      </c>
      <c r="E69" s="69">
        <f t="shared" si="7"/>
        <v>24.120000000000005</v>
      </c>
      <c r="F69" s="69">
        <f t="shared" si="7"/>
        <v>24.120000000000005</v>
      </c>
      <c r="G69" s="69">
        <f t="shared" si="7"/>
        <v>24.120000000000005</v>
      </c>
      <c r="H69" s="69">
        <f t="shared" si="7"/>
        <v>24.120000000000005</v>
      </c>
      <c r="I69" s="69">
        <f t="shared" si="7"/>
        <v>24.120000000000005</v>
      </c>
      <c r="J69" s="69">
        <f t="shared" si="7"/>
        <v>24.120000000000005</v>
      </c>
      <c r="K69" s="69">
        <f t="shared" si="7"/>
        <v>24.120000000000005</v>
      </c>
      <c r="L69" s="69">
        <f t="shared" si="7"/>
        <v>24.120000000000005</v>
      </c>
      <c r="M69" s="69">
        <f t="shared" si="7"/>
        <v>24.120000000000005</v>
      </c>
      <c r="N69" s="69">
        <f t="shared" si="7"/>
        <v>24.120000000000005</v>
      </c>
      <c r="O69" s="69">
        <f t="shared" si="7"/>
        <v>24.120000000000005</v>
      </c>
      <c r="P69" s="69">
        <f t="shared" si="7"/>
        <v>24.120000000000005</v>
      </c>
      <c r="Q69" s="69">
        <f t="shared" si="7"/>
        <v>24.120000000000005</v>
      </c>
      <c r="R69" s="69">
        <f t="shared" si="7"/>
        <v>24.120000000000005</v>
      </c>
      <c r="S69" s="69">
        <f t="shared" si="7"/>
        <v>24.120000000000005</v>
      </c>
      <c r="T69" s="69">
        <f t="shared" si="7"/>
        <v>24.120000000000005</v>
      </c>
      <c r="U69" s="69">
        <f t="shared" si="7"/>
        <v>24.120000000000005</v>
      </c>
      <c r="V69" s="69">
        <f t="shared" si="7"/>
        <v>24.120000000000005</v>
      </c>
      <c r="W69" s="69">
        <f t="shared" si="7"/>
        <v>24.120000000000005</v>
      </c>
      <c r="X69" s="69">
        <f t="shared" si="7"/>
        <v>24.120000000000005</v>
      </c>
      <c r="Y69" s="69">
        <f t="shared" si="7"/>
        <v>24.120000000000005</v>
      </c>
      <c r="Z69" s="69">
        <f t="shared" si="7"/>
        <v>24.120000000000005</v>
      </c>
      <c r="AA69" s="69">
        <f t="shared" si="7"/>
        <v>24.120000000000005</v>
      </c>
    </row>
    <row r="70" spans="1:27">
      <c r="A70" s="34" t="s">
        <v>250</v>
      </c>
      <c r="B70" s="69">
        <f t="shared" ref="B70:AA70" si="8">PMT(VRE_WACC_W,$B$15,B62)*-1</f>
        <v>288.24210884058175</v>
      </c>
      <c r="C70" s="69">
        <f t="shared" si="8"/>
        <v>276.00016599407058</v>
      </c>
      <c r="D70" s="69">
        <f t="shared" si="8"/>
        <v>264.77838505143535</v>
      </c>
      <c r="E70" s="69">
        <f t="shared" si="8"/>
        <v>254.29854003889159</v>
      </c>
      <c r="F70" s="69">
        <f t="shared" si="8"/>
        <v>244.4678889651781</v>
      </c>
      <c r="G70" s="69">
        <f t="shared" si="8"/>
        <v>235.19368983903325</v>
      </c>
      <c r="H70" s="69">
        <f t="shared" si="8"/>
        <v>226.75416863424144</v>
      </c>
      <c r="I70" s="69">
        <f t="shared" si="8"/>
        <v>219.33480933332558</v>
      </c>
      <c r="J70" s="69">
        <f t="shared" si="8"/>
        <v>213.39932189259287</v>
      </c>
      <c r="K70" s="69">
        <f t="shared" si="8"/>
        <v>211.91545003240969</v>
      </c>
      <c r="L70" s="69">
        <f t="shared" si="8"/>
        <v>208.85496432078187</v>
      </c>
      <c r="M70" s="69">
        <f t="shared" si="8"/>
        <v>208.11302839069032</v>
      </c>
      <c r="N70" s="69">
        <f t="shared" si="8"/>
        <v>207.27835046933725</v>
      </c>
      <c r="O70" s="69">
        <f t="shared" si="8"/>
        <v>205.60899462663122</v>
      </c>
      <c r="P70" s="69">
        <f t="shared" si="8"/>
        <v>204.12512276644802</v>
      </c>
      <c r="Q70" s="69">
        <f t="shared" si="8"/>
        <v>202.36302493248053</v>
      </c>
      <c r="R70" s="69">
        <f t="shared" si="8"/>
        <v>201.1573790460817</v>
      </c>
      <c r="S70" s="69">
        <f t="shared" si="8"/>
        <v>200.32270112472864</v>
      </c>
      <c r="T70" s="69">
        <f t="shared" si="8"/>
        <v>199.76624917715992</v>
      </c>
      <c r="U70" s="69">
        <f t="shared" si="8"/>
        <v>199.20979722959123</v>
      </c>
      <c r="V70" s="69">
        <f t="shared" si="8"/>
        <v>198.83882926454547</v>
      </c>
      <c r="W70" s="69">
        <f t="shared" si="8"/>
        <v>198.56060329076109</v>
      </c>
      <c r="X70" s="69">
        <f t="shared" si="8"/>
        <v>198.37511930823823</v>
      </c>
      <c r="Y70" s="69">
        <f t="shared" si="8"/>
        <v>198.28237731697678</v>
      </c>
      <c r="Z70" s="69">
        <f t="shared" si="8"/>
        <v>198.18963532571533</v>
      </c>
      <c r="AA70" s="69">
        <f t="shared" si="8"/>
        <v>198.09689333445388</v>
      </c>
    </row>
    <row r="71" spans="1:27">
      <c r="A71" s="34" t="s">
        <v>251</v>
      </c>
      <c r="B71" s="69">
        <f t="shared" ref="B71:AA71" si="9">29*Alpha_Wind*VRE_Ratio</f>
        <v>28.709999999999994</v>
      </c>
      <c r="C71" s="69">
        <f t="shared" si="9"/>
        <v>28.709999999999994</v>
      </c>
      <c r="D71" s="69">
        <f t="shared" si="9"/>
        <v>28.709999999999994</v>
      </c>
      <c r="E71" s="69">
        <f t="shared" si="9"/>
        <v>28.709999999999994</v>
      </c>
      <c r="F71" s="69">
        <f t="shared" si="9"/>
        <v>28.709999999999994</v>
      </c>
      <c r="G71" s="69">
        <f t="shared" si="9"/>
        <v>28.709999999999994</v>
      </c>
      <c r="H71" s="69">
        <f t="shared" si="9"/>
        <v>28.709999999999994</v>
      </c>
      <c r="I71" s="69">
        <f t="shared" si="9"/>
        <v>28.709999999999994</v>
      </c>
      <c r="J71" s="69">
        <f t="shared" si="9"/>
        <v>28.709999999999994</v>
      </c>
      <c r="K71" s="69">
        <f t="shared" si="9"/>
        <v>28.709999999999994</v>
      </c>
      <c r="L71" s="69">
        <f t="shared" si="9"/>
        <v>28.709999999999994</v>
      </c>
      <c r="M71" s="69">
        <f t="shared" si="9"/>
        <v>28.709999999999994</v>
      </c>
      <c r="N71" s="69">
        <f t="shared" si="9"/>
        <v>28.709999999999994</v>
      </c>
      <c r="O71" s="69">
        <f t="shared" si="9"/>
        <v>28.709999999999994</v>
      </c>
      <c r="P71" s="69">
        <f t="shared" si="9"/>
        <v>28.709999999999994</v>
      </c>
      <c r="Q71" s="69">
        <f t="shared" si="9"/>
        <v>28.709999999999994</v>
      </c>
      <c r="R71" s="69">
        <f t="shared" si="9"/>
        <v>28.709999999999994</v>
      </c>
      <c r="S71" s="69">
        <f t="shared" si="9"/>
        <v>28.709999999999994</v>
      </c>
      <c r="T71" s="69">
        <f t="shared" si="9"/>
        <v>28.709999999999994</v>
      </c>
      <c r="U71" s="69">
        <f t="shared" si="9"/>
        <v>28.709999999999994</v>
      </c>
      <c r="V71" s="69">
        <f t="shared" si="9"/>
        <v>28.709999999999994</v>
      </c>
      <c r="W71" s="69">
        <f t="shared" si="9"/>
        <v>28.709999999999994</v>
      </c>
      <c r="X71" s="69">
        <f t="shared" si="9"/>
        <v>28.709999999999994</v>
      </c>
      <c r="Y71" s="69">
        <f t="shared" si="9"/>
        <v>28.709999999999994</v>
      </c>
      <c r="Z71" s="69">
        <f t="shared" si="9"/>
        <v>28.709999999999994</v>
      </c>
      <c r="AA71" s="69">
        <f t="shared" si="9"/>
        <v>28.709999999999994</v>
      </c>
    </row>
    <row r="72" spans="1:27">
      <c r="A72" s="34" t="s">
        <v>252</v>
      </c>
      <c r="B72" s="69">
        <f t="shared" ref="B72:AA72" si="10">B65+B66+B67+B68+B69+B70+B71</f>
        <v>759.87785335722242</v>
      </c>
      <c r="C72" s="69">
        <f t="shared" si="10"/>
        <v>713.36768531805853</v>
      </c>
      <c r="D72" s="69">
        <f t="shared" si="10"/>
        <v>680.65431236131781</v>
      </c>
      <c r="E72" s="69">
        <f t="shared" si="10"/>
        <v>656.35927735620794</v>
      </c>
      <c r="F72" s="69">
        <f t="shared" si="10"/>
        <v>632.36963209852877</v>
      </c>
      <c r="G72" s="69">
        <f t="shared" si="10"/>
        <v>608.82985099524535</v>
      </c>
      <c r="H72" s="69">
        <f t="shared" si="10"/>
        <v>590.17238727621736</v>
      </c>
      <c r="I72" s="69">
        <f t="shared" si="10"/>
        <v>574.73610206819319</v>
      </c>
      <c r="J72" s="69">
        <f t="shared" si="10"/>
        <v>559.9643287688059</v>
      </c>
      <c r="K72" s="69">
        <f t="shared" si="10"/>
        <v>551.2010926142309</v>
      </c>
      <c r="L72" s="69">
        <f t="shared" si="10"/>
        <v>541.73782075117288</v>
      </c>
      <c r="M72" s="69">
        <f t="shared" si="10"/>
        <v>535.34760114705341</v>
      </c>
      <c r="N72" s="69">
        <f t="shared" si="10"/>
        <v>529.91212362641693</v>
      </c>
      <c r="O72" s="69">
        <f t="shared" si="10"/>
        <v>523.47998951337001</v>
      </c>
      <c r="P72" s="69">
        <f t="shared" si="10"/>
        <v>518.96353352795688</v>
      </c>
      <c r="Q72" s="69">
        <f t="shared" si="10"/>
        <v>514.51394373815549</v>
      </c>
      <c r="R72" s="69">
        <f t="shared" si="10"/>
        <v>510.98703289260044</v>
      </c>
      <c r="S72" s="69">
        <f t="shared" si="10"/>
        <v>508.28040332559539</v>
      </c>
      <c r="T72" s="69">
        <f t="shared" si="10"/>
        <v>505.93417239243581</v>
      </c>
      <c r="U72" s="69">
        <f t="shared" si="10"/>
        <v>503.73115195211705</v>
      </c>
      <c r="V72" s="69">
        <f t="shared" si="10"/>
        <v>501.82676389915486</v>
      </c>
      <c r="W72" s="69">
        <f t="shared" si="10"/>
        <v>500.07615567023362</v>
      </c>
      <c r="X72" s="69">
        <f t="shared" si="10"/>
        <v>499.16951160414584</v>
      </c>
      <c r="Y72" s="69">
        <f t="shared" si="10"/>
        <v>497.11280438968032</v>
      </c>
      <c r="Z72" s="69">
        <f t="shared" si="10"/>
        <v>495.7861845195053</v>
      </c>
      <c r="AA72" s="69">
        <f t="shared" si="10"/>
        <v>495.05773541057039</v>
      </c>
    </row>
    <row r="73" spans="1:27">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row>
    <row r="74" spans="1:27">
      <c r="A74" s="32" t="s">
        <v>253</v>
      </c>
      <c r="B74" s="32"/>
      <c r="C74" s="34"/>
      <c r="D74" s="34"/>
      <c r="E74" s="34"/>
      <c r="F74" s="34"/>
      <c r="G74" s="34"/>
      <c r="H74" s="34"/>
      <c r="I74" s="34"/>
      <c r="J74" s="34"/>
      <c r="K74" s="34"/>
      <c r="L74" s="34"/>
      <c r="M74" s="34"/>
      <c r="N74" s="34"/>
      <c r="O74" s="34"/>
      <c r="P74" s="34"/>
      <c r="Q74" s="34"/>
      <c r="R74" s="34"/>
      <c r="S74" s="34"/>
      <c r="T74" s="34"/>
      <c r="U74" s="34"/>
      <c r="V74" s="34"/>
      <c r="W74" s="34"/>
      <c r="X74" s="34"/>
      <c r="Y74" s="34"/>
      <c r="Z74" s="34"/>
      <c r="AA74" s="34"/>
    </row>
    <row r="75" spans="1:27">
      <c r="A75" s="34" t="s">
        <v>254</v>
      </c>
      <c r="B75" s="34">
        <f t="shared" ref="B75:AA75" si="11">Alpha_Solar*CF_Solar+Alpha_Wind*CF_Wind</f>
        <v>0.26289999999999997</v>
      </c>
      <c r="C75" s="34">
        <f t="shared" si="11"/>
        <v>0.26289999999999997</v>
      </c>
      <c r="D75" s="34">
        <f t="shared" si="11"/>
        <v>0.26289999999999997</v>
      </c>
      <c r="E75" s="34">
        <f t="shared" si="11"/>
        <v>0.26289999999999997</v>
      </c>
      <c r="F75" s="34">
        <f t="shared" si="11"/>
        <v>0.26289999999999997</v>
      </c>
      <c r="G75" s="34">
        <f t="shared" si="11"/>
        <v>0.26289999999999997</v>
      </c>
      <c r="H75" s="34">
        <f t="shared" si="11"/>
        <v>0.26289999999999997</v>
      </c>
      <c r="I75" s="34">
        <f t="shared" si="11"/>
        <v>0.26289999999999997</v>
      </c>
      <c r="J75" s="34">
        <f t="shared" si="11"/>
        <v>0.26289999999999997</v>
      </c>
      <c r="K75" s="34">
        <f t="shared" si="11"/>
        <v>0.26289999999999997</v>
      </c>
      <c r="L75" s="34">
        <f t="shared" si="11"/>
        <v>0.26289999999999997</v>
      </c>
      <c r="M75" s="34">
        <f t="shared" si="11"/>
        <v>0.26289999999999997</v>
      </c>
      <c r="N75" s="34">
        <f t="shared" si="11"/>
        <v>0.26289999999999997</v>
      </c>
      <c r="O75" s="34">
        <f t="shared" si="11"/>
        <v>0.26289999999999997</v>
      </c>
      <c r="P75" s="34">
        <f t="shared" si="11"/>
        <v>0.26289999999999997</v>
      </c>
      <c r="Q75" s="34">
        <f t="shared" si="11"/>
        <v>0.26289999999999997</v>
      </c>
      <c r="R75" s="34">
        <f t="shared" si="11"/>
        <v>0.26289999999999997</v>
      </c>
      <c r="S75" s="34">
        <f t="shared" si="11"/>
        <v>0.26289999999999997</v>
      </c>
      <c r="T75" s="34">
        <f t="shared" si="11"/>
        <v>0.26289999999999997</v>
      </c>
      <c r="U75" s="34">
        <f t="shared" si="11"/>
        <v>0.26289999999999997</v>
      </c>
      <c r="V75" s="34">
        <f t="shared" si="11"/>
        <v>0.26289999999999997</v>
      </c>
      <c r="W75" s="34">
        <f t="shared" si="11"/>
        <v>0.26289999999999997</v>
      </c>
      <c r="X75" s="34">
        <f t="shared" si="11"/>
        <v>0.26289999999999997</v>
      </c>
      <c r="Y75" s="34">
        <f t="shared" si="11"/>
        <v>0.26289999999999997</v>
      </c>
      <c r="Z75" s="34">
        <f t="shared" si="11"/>
        <v>0.26289999999999997</v>
      </c>
      <c r="AA75" s="34">
        <f t="shared" si="11"/>
        <v>0.26289999999999997</v>
      </c>
    </row>
    <row r="76" spans="1:27">
      <c r="A76" s="34" t="s">
        <v>255</v>
      </c>
      <c r="B76" s="34">
        <f t="shared" ref="B76:AA76" si="12">(Direct_Flow+(1-Direct_Flow)*Battery_RTE)*VRE_Ratio*(Alpha_Solar*CF_Solar+Alpha_Wind*CF_Wind)</f>
        <v>0.77292599999999989</v>
      </c>
      <c r="C76" s="34">
        <f t="shared" si="12"/>
        <v>0.77292599999999989</v>
      </c>
      <c r="D76" s="34">
        <f t="shared" si="12"/>
        <v>0.77292599999999989</v>
      </c>
      <c r="E76" s="34">
        <f t="shared" si="12"/>
        <v>0.77292599999999989</v>
      </c>
      <c r="F76" s="34">
        <f t="shared" si="12"/>
        <v>0.77292599999999989</v>
      </c>
      <c r="G76" s="34">
        <f t="shared" si="12"/>
        <v>0.77292599999999989</v>
      </c>
      <c r="H76" s="34">
        <f t="shared" si="12"/>
        <v>0.77292599999999989</v>
      </c>
      <c r="I76" s="34">
        <f t="shared" si="12"/>
        <v>0.77292599999999989</v>
      </c>
      <c r="J76" s="34">
        <f t="shared" si="12"/>
        <v>0.77292599999999989</v>
      </c>
      <c r="K76" s="34">
        <f t="shared" si="12"/>
        <v>0.77292599999999989</v>
      </c>
      <c r="L76" s="34">
        <f t="shared" si="12"/>
        <v>0.77292599999999989</v>
      </c>
      <c r="M76" s="34">
        <f t="shared" si="12"/>
        <v>0.77292599999999989</v>
      </c>
      <c r="N76" s="34">
        <f t="shared" si="12"/>
        <v>0.77292599999999989</v>
      </c>
      <c r="O76" s="34">
        <f t="shared" si="12"/>
        <v>0.77292599999999989</v>
      </c>
      <c r="P76" s="34">
        <f t="shared" si="12"/>
        <v>0.77292599999999989</v>
      </c>
      <c r="Q76" s="34">
        <f t="shared" si="12"/>
        <v>0.77292599999999989</v>
      </c>
      <c r="R76" s="34">
        <f t="shared" si="12"/>
        <v>0.77292599999999989</v>
      </c>
      <c r="S76" s="34">
        <f t="shared" si="12"/>
        <v>0.77292599999999989</v>
      </c>
      <c r="T76" s="34">
        <f t="shared" si="12"/>
        <v>0.77292599999999989</v>
      </c>
      <c r="U76" s="34">
        <f t="shared" si="12"/>
        <v>0.77292599999999989</v>
      </c>
      <c r="V76" s="34">
        <f t="shared" si="12"/>
        <v>0.77292599999999989</v>
      </c>
      <c r="W76" s="34">
        <f t="shared" si="12"/>
        <v>0.77292599999999989</v>
      </c>
      <c r="X76" s="34">
        <f t="shared" si="12"/>
        <v>0.77292599999999989</v>
      </c>
      <c r="Y76" s="34">
        <f t="shared" si="12"/>
        <v>0.77292599999999989</v>
      </c>
      <c r="Z76" s="34">
        <f t="shared" si="12"/>
        <v>0.77292599999999989</v>
      </c>
      <c r="AA76" s="34">
        <f t="shared" si="12"/>
        <v>0.77292599999999989</v>
      </c>
    </row>
    <row r="77" spans="1:27">
      <c r="A77" s="35" t="s">
        <v>256</v>
      </c>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row>
    <row r="78" spans="1:27">
      <c r="A78" s="79" t="s">
        <v>257</v>
      </c>
      <c r="B78" s="79">
        <f t="shared" ref="B78:AA78" si="13">1000*B72/(8760*B76)</f>
        <v>112.22813980497169</v>
      </c>
      <c r="C78" s="79">
        <f t="shared" si="13"/>
        <v>105.35894415992087</v>
      </c>
      <c r="D78" s="79">
        <f t="shared" si="13"/>
        <v>100.52742949284533</v>
      </c>
      <c r="E78" s="79">
        <f t="shared" si="13"/>
        <v>96.939238873690172</v>
      </c>
      <c r="F78" s="79">
        <f t="shared" si="13"/>
        <v>93.396151981559328</v>
      </c>
      <c r="G78" s="79">
        <f t="shared" si="13"/>
        <v>89.919506579978218</v>
      </c>
      <c r="H78" s="79">
        <f t="shared" si="13"/>
        <v>87.163942067321045</v>
      </c>
      <c r="I78" s="79">
        <f t="shared" si="13"/>
        <v>84.88412095299104</v>
      </c>
      <c r="J78" s="79">
        <f t="shared" si="13"/>
        <v>82.702443158742142</v>
      </c>
      <c r="K78" s="79">
        <f t="shared" si="13"/>
        <v>81.408180287473428</v>
      </c>
      <c r="L78" s="79">
        <f t="shared" si="13"/>
        <v>80.010527502927189</v>
      </c>
      <c r="M78" s="79">
        <f t="shared" si="13"/>
        <v>79.066741003627229</v>
      </c>
      <c r="N78" s="79">
        <f t="shared" si="13"/>
        <v>78.263962598653748</v>
      </c>
      <c r="O78" s="79">
        <f t="shared" si="13"/>
        <v>77.313985647366039</v>
      </c>
      <c r="P78" s="79">
        <f t="shared" si="13"/>
        <v>76.646939685288672</v>
      </c>
      <c r="Q78" s="79">
        <f t="shared" si="13"/>
        <v>75.989769348242604</v>
      </c>
      <c r="R78" s="79">
        <f t="shared" si="13"/>
        <v>75.468871625396957</v>
      </c>
      <c r="S78" s="79">
        <f t="shared" si="13"/>
        <v>75.069123165688495</v>
      </c>
      <c r="T78" s="79">
        <f t="shared" si="13"/>
        <v>74.722602824270425</v>
      </c>
      <c r="U78" s="79">
        <f t="shared" si="13"/>
        <v>74.397233575940618</v>
      </c>
      <c r="V78" s="79">
        <f t="shared" si="13"/>
        <v>74.115970044299985</v>
      </c>
      <c r="W78" s="79">
        <f t="shared" si="13"/>
        <v>73.857418615026063</v>
      </c>
      <c r="X78" s="79">
        <f t="shared" si="13"/>
        <v>73.723514229534771</v>
      </c>
      <c r="Y78" s="79">
        <f t="shared" si="13"/>
        <v>73.419754324198479</v>
      </c>
      <c r="Z78" s="79">
        <f t="shared" si="13"/>
        <v>73.223822728613385</v>
      </c>
      <c r="AA78" s="79">
        <f t="shared" si="13"/>
        <v>73.116236373678632</v>
      </c>
    </row>
    <row r="79" spans="1:27">
      <c r="A79" s="32"/>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row>
    <row r="80" spans="1:27">
      <c r="A80" s="35"/>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row>
    <row r="81" spans="1:27">
      <c r="A81" s="79" t="s">
        <v>258</v>
      </c>
      <c r="B81" s="36"/>
      <c r="C81" s="34"/>
      <c r="D81" s="34"/>
      <c r="E81" s="34"/>
      <c r="F81" s="34"/>
      <c r="G81" s="34"/>
      <c r="H81" s="34"/>
      <c r="I81" s="34"/>
      <c r="J81" s="34"/>
      <c r="K81" s="34"/>
      <c r="L81" s="34"/>
      <c r="M81" s="34"/>
      <c r="N81" s="34"/>
      <c r="O81" s="34"/>
      <c r="P81" s="34"/>
      <c r="Q81" s="34"/>
      <c r="R81" s="34"/>
      <c r="S81" s="34"/>
      <c r="T81" s="34"/>
      <c r="U81" s="34"/>
      <c r="V81" s="34"/>
      <c r="W81" s="34"/>
      <c r="X81" s="34"/>
      <c r="Y81" s="34"/>
      <c r="Z81" s="34"/>
      <c r="AA81" s="34"/>
    </row>
    <row r="82" spans="1:27">
      <c r="A82" s="35" t="s">
        <v>259</v>
      </c>
      <c r="B82" s="36"/>
      <c r="C82" s="34"/>
      <c r="D82" s="34"/>
      <c r="E82" s="34"/>
      <c r="F82" s="34"/>
      <c r="G82" s="34"/>
      <c r="H82" s="34"/>
      <c r="I82" s="34"/>
      <c r="J82" s="34"/>
      <c r="K82" s="34"/>
      <c r="L82" s="34"/>
      <c r="M82" s="34"/>
      <c r="N82" s="34"/>
      <c r="O82" s="34"/>
      <c r="P82" s="34"/>
      <c r="Q82" s="34"/>
      <c r="R82" s="34"/>
      <c r="S82" s="34"/>
      <c r="T82" s="34"/>
      <c r="U82" s="34"/>
      <c r="V82" s="34"/>
      <c r="W82" s="34"/>
      <c r="X82" s="34"/>
      <c r="Y82" s="34"/>
      <c r="Z82" s="34"/>
      <c r="AA82" s="34"/>
    </row>
    <row r="83" spans="1:27">
      <c r="A83" s="34" t="s">
        <v>260</v>
      </c>
      <c r="B83" s="36"/>
      <c r="C83" s="34"/>
      <c r="D83" s="34"/>
      <c r="E83" s="34"/>
      <c r="F83" s="34"/>
      <c r="G83" s="34"/>
      <c r="H83" s="34"/>
      <c r="I83" s="34"/>
      <c r="J83" s="34"/>
      <c r="K83" s="34"/>
      <c r="L83" s="34"/>
      <c r="M83" s="34"/>
      <c r="N83" s="34"/>
      <c r="O83" s="34"/>
      <c r="P83" s="34"/>
      <c r="Q83" s="34"/>
      <c r="R83" s="34"/>
      <c r="S83" s="34"/>
      <c r="T83" s="34"/>
      <c r="U83" s="34"/>
      <c r="V83" s="34"/>
      <c r="W83" s="34"/>
      <c r="X83" s="34"/>
      <c r="Y83" s="34"/>
      <c r="Z83" s="34"/>
      <c r="AA83" s="34"/>
    </row>
    <row r="84" spans="1:27">
      <c r="A84" s="34" t="s">
        <v>261</v>
      </c>
      <c r="B84" s="69">
        <f t="shared" ref="B84:AA84" si="14">AVERAGE(B53,B54)</f>
        <v>2259</v>
      </c>
      <c r="C84" s="69">
        <f t="shared" si="14"/>
        <v>2172.5</v>
      </c>
      <c r="D84" s="69">
        <f t="shared" si="14"/>
        <v>2053</v>
      </c>
      <c r="E84" s="69">
        <f t="shared" si="14"/>
        <v>1941.5</v>
      </c>
      <c r="F84" s="69">
        <f t="shared" si="14"/>
        <v>1836.5</v>
      </c>
      <c r="G84" s="69">
        <f t="shared" si="14"/>
        <v>1738.5</v>
      </c>
      <c r="H84" s="69">
        <f t="shared" si="14"/>
        <v>1644.5</v>
      </c>
      <c r="I84" s="69">
        <f t="shared" si="14"/>
        <v>1556.5</v>
      </c>
      <c r="J84" s="69">
        <f t="shared" si="14"/>
        <v>1473.5</v>
      </c>
      <c r="K84" s="69">
        <f t="shared" si="14"/>
        <v>1421</v>
      </c>
      <c r="L84" s="69">
        <f t="shared" si="14"/>
        <v>1397.5</v>
      </c>
      <c r="M84" s="69">
        <f t="shared" si="14"/>
        <v>1401.5</v>
      </c>
      <c r="N84" s="69">
        <f t="shared" si="14"/>
        <v>1405.5</v>
      </c>
      <c r="O84" s="69">
        <f t="shared" si="14"/>
        <v>1409.5</v>
      </c>
      <c r="P84" s="69">
        <f t="shared" si="14"/>
        <v>1413.5</v>
      </c>
      <c r="Q84" s="69">
        <f t="shared" si="14"/>
        <v>1416</v>
      </c>
      <c r="R84" s="69">
        <f t="shared" si="14"/>
        <v>1418.5</v>
      </c>
      <c r="S84" s="69">
        <f t="shared" si="14"/>
        <v>1421</v>
      </c>
      <c r="T84" s="69">
        <f t="shared" si="14"/>
        <v>1424</v>
      </c>
      <c r="U84" s="69">
        <f t="shared" si="14"/>
        <v>1426.5</v>
      </c>
      <c r="V84" s="69">
        <f t="shared" si="14"/>
        <v>1428.5</v>
      </c>
      <c r="W84" s="69">
        <f t="shared" si="14"/>
        <v>1431</v>
      </c>
      <c r="X84" s="69">
        <f t="shared" si="14"/>
        <v>1433.5</v>
      </c>
      <c r="Y84" s="69">
        <f t="shared" si="14"/>
        <v>1436</v>
      </c>
      <c r="Z84" s="69">
        <f t="shared" si="14"/>
        <v>1438.5</v>
      </c>
      <c r="AA84" s="69">
        <f t="shared" si="14"/>
        <v>1441</v>
      </c>
    </row>
    <row r="85" spans="1:27">
      <c r="A85" s="34" t="s">
        <v>262</v>
      </c>
      <c r="B85" s="69">
        <f t="shared" ref="B85:AA85" si="15">PMT(Gas_WACC,$B$16,B84)*-1</f>
        <v>229.98031992145374</v>
      </c>
      <c r="C85" s="69">
        <f t="shared" si="15"/>
        <v>221.17407925159731</v>
      </c>
      <c r="D85" s="69">
        <f t="shared" si="15"/>
        <v>209.00823231462795</v>
      </c>
      <c r="E85" s="69">
        <f t="shared" si="15"/>
        <v>197.65683538180718</v>
      </c>
      <c r="F85" s="69">
        <f t="shared" si="15"/>
        <v>186.96717907735717</v>
      </c>
      <c r="G85" s="69">
        <f t="shared" si="15"/>
        <v>176.99016652653714</v>
      </c>
      <c r="H85" s="69">
        <f t="shared" si="15"/>
        <v>167.42037897779139</v>
      </c>
      <c r="I85" s="69">
        <f t="shared" si="15"/>
        <v>158.46142893215705</v>
      </c>
      <c r="J85" s="69">
        <f t="shared" si="15"/>
        <v>150.01151013911559</v>
      </c>
      <c r="K85" s="69">
        <f t="shared" si="15"/>
        <v>144.66668198689055</v>
      </c>
      <c r="L85" s="69">
        <f t="shared" si="15"/>
        <v>142.27423509970413</v>
      </c>
      <c r="M85" s="69">
        <f t="shared" si="15"/>
        <v>142.68146010177841</v>
      </c>
      <c r="N85" s="69">
        <f t="shared" si="15"/>
        <v>143.0886851038527</v>
      </c>
      <c r="O85" s="69">
        <f t="shared" si="15"/>
        <v>143.49591010592701</v>
      </c>
      <c r="P85" s="69">
        <f t="shared" si="15"/>
        <v>143.90313510800127</v>
      </c>
      <c r="Q85" s="69">
        <f t="shared" si="15"/>
        <v>144.1576507342977</v>
      </c>
      <c r="R85" s="69">
        <f t="shared" si="15"/>
        <v>144.41216636059414</v>
      </c>
      <c r="S85" s="69">
        <f t="shared" si="15"/>
        <v>144.66668198689055</v>
      </c>
      <c r="T85" s="69">
        <f t="shared" si="15"/>
        <v>144.97210073844627</v>
      </c>
      <c r="U85" s="69">
        <f t="shared" si="15"/>
        <v>145.22661636474271</v>
      </c>
      <c r="V85" s="69">
        <f t="shared" si="15"/>
        <v>145.43022886577984</v>
      </c>
      <c r="W85" s="69">
        <f t="shared" si="15"/>
        <v>145.68474449207631</v>
      </c>
      <c r="X85" s="69">
        <f t="shared" si="15"/>
        <v>145.93926011837272</v>
      </c>
      <c r="Y85" s="69">
        <f t="shared" si="15"/>
        <v>146.19377574466915</v>
      </c>
      <c r="Z85" s="69">
        <f t="shared" si="15"/>
        <v>146.44829137096559</v>
      </c>
      <c r="AA85" s="69">
        <f t="shared" si="15"/>
        <v>146.702806997262</v>
      </c>
    </row>
    <row r="86" spans="1:27">
      <c r="A86" s="34" t="s">
        <v>263</v>
      </c>
      <c r="B86" s="69">
        <f t="shared" ref="B86:AA86" si="16">AVERAGE(17,26)</f>
        <v>21.5</v>
      </c>
      <c r="C86" s="69">
        <f t="shared" si="16"/>
        <v>21.5</v>
      </c>
      <c r="D86" s="69">
        <f t="shared" si="16"/>
        <v>21.5</v>
      </c>
      <c r="E86" s="69">
        <f t="shared" si="16"/>
        <v>21.5</v>
      </c>
      <c r="F86" s="69">
        <f t="shared" si="16"/>
        <v>21.5</v>
      </c>
      <c r="G86" s="69">
        <f t="shared" si="16"/>
        <v>21.5</v>
      </c>
      <c r="H86" s="69">
        <f t="shared" si="16"/>
        <v>21.5</v>
      </c>
      <c r="I86" s="69">
        <f t="shared" si="16"/>
        <v>21.5</v>
      </c>
      <c r="J86" s="69">
        <f t="shared" si="16"/>
        <v>21.5</v>
      </c>
      <c r="K86" s="69">
        <f t="shared" si="16"/>
        <v>21.5</v>
      </c>
      <c r="L86" s="69">
        <f t="shared" si="16"/>
        <v>21.5</v>
      </c>
      <c r="M86" s="69">
        <f t="shared" si="16"/>
        <v>21.5</v>
      </c>
      <c r="N86" s="69">
        <f t="shared" si="16"/>
        <v>21.5</v>
      </c>
      <c r="O86" s="69">
        <f t="shared" si="16"/>
        <v>21.5</v>
      </c>
      <c r="P86" s="69">
        <f t="shared" si="16"/>
        <v>21.5</v>
      </c>
      <c r="Q86" s="69">
        <f t="shared" si="16"/>
        <v>21.5</v>
      </c>
      <c r="R86" s="69">
        <f t="shared" si="16"/>
        <v>21.5</v>
      </c>
      <c r="S86" s="69">
        <f t="shared" si="16"/>
        <v>21.5</v>
      </c>
      <c r="T86" s="69">
        <f t="shared" si="16"/>
        <v>21.5</v>
      </c>
      <c r="U86" s="69">
        <f t="shared" si="16"/>
        <v>21.5</v>
      </c>
      <c r="V86" s="69">
        <f t="shared" si="16"/>
        <v>21.5</v>
      </c>
      <c r="W86" s="69">
        <f t="shared" si="16"/>
        <v>21.5</v>
      </c>
      <c r="X86" s="69">
        <f t="shared" si="16"/>
        <v>21.5</v>
      </c>
      <c r="Y86" s="69">
        <f t="shared" si="16"/>
        <v>21.5</v>
      </c>
      <c r="Z86" s="69">
        <f t="shared" si="16"/>
        <v>21.5</v>
      </c>
      <c r="AA86" s="69">
        <f t="shared" si="16"/>
        <v>21.5</v>
      </c>
    </row>
    <row r="87" spans="1:27">
      <c r="A87" s="34" t="s">
        <v>264</v>
      </c>
      <c r="B87" s="69">
        <f t="shared" ref="B87:AA87" si="17">B85+B86</f>
        <v>251.48031992145374</v>
      </c>
      <c r="C87" s="69">
        <f t="shared" si="17"/>
        <v>242.67407925159731</v>
      </c>
      <c r="D87" s="69">
        <f t="shared" si="17"/>
        <v>230.50823231462795</v>
      </c>
      <c r="E87" s="69">
        <f t="shared" si="17"/>
        <v>219.15683538180718</v>
      </c>
      <c r="F87" s="69">
        <f t="shared" si="17"/>
        <v>208.46717907735717</v>
      </c>
      <c r="G87" s="69">
        <f t="shared" si="17"/>
        <v>198.49016652653714</v>
      </c>
      <c r="H87" s="69">
        <f t="shared" si="17"/>
        <v>188.92037897779139</v>
      </c>
      <c r="I87" s="69">
        <f t="shared" si="17"/>
        <v>179.96142893215705</v>
      </c>
      <c r="J87" s="69">
        <f t="shared" si="17"/>
        <v>171.51151013911559</v>
      </c>
      <c r="K87" s="69">
        <f t="shared" si="17"/>
        <v>166.16668198689055</v>
      </c>
      <c r="L87" s="69">
        <f t="shared" si="17"/>
        <v>163.77423509970413</v>
      </c>
      <c r="M87" s="69">
        <f t="shared" si="17"/>
        <v>164.18146010177841</v>
      </c>
      <c r="N87" s="69">
        <f t="shared" si="17"/>
        <v>164.5886851038527</v>
      </c>
      <c r="O87" s="69">
        <f t="shared" si="17"/>
        <v>164.99591010592701</v>
      </c>
      <c r="P87" s="69">
        <f t="shared" si="17"/>
        <v>165.40313510800127</v>
      </c>
      <c r="Q87" s="69">
        <f t="shared" si="17"/>
        <v>165.6576507342977</v>
      </c>
      <c r="R87" s="69">
        <f t="shared" si="17"/>
        <v>165.91216636059414</v>
      </c>
      <c r="S87" s="69">
        <f t="shared" si="17"/>
        <v>166.16668198689055</v>
      </c>
      <c r="T87" s="69">
        <f t="shared" si="17"/>
        <v>166.47210073844627</v>
      </c>
      <c r="U87" s="69">
        <f t="shared" si="17"/>
        <v>166.72661636474271</v>
      </c>
      <c r="V87" s="69">
        <f t="shared" si="17"/>
        <v>166.93022886577984</v>
      </c>
      <c r="W87" s="69">
        <f t="shared" si="17"/>
        <v>167.18474449207631</v>
      </c>
      <c r="X87" s="69">
        <f t="shared" si="17"/>
        <v>167.43926011837272</v>
      </c>
      <c r="Y87" s="69">
        <f t="shared" si="17"/>
        <v>167.69377574466915</v>
      </c>
      <c r="Z87" s="69">
        <f t="shared" si="17"/>
        <v>167.94829137096559</v>
      </c>
      <c r="AA87" s="69">
        <f t="shared" si="17"/>
        <v>168.202806997262</v>
      </c>
    </row>
    <row r="88" spans="1:27">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row>
    <row r="89" spans="1:27">
      <c r="A89" s="32" t="s">
        <v>265</v>
      </c>
      <c r="B89" s="36"/>
      <c r="C89" s="34"/>
      <c r="D89" s="34"/>
      <c r="E89" s="34"/>
      <c r="F89" s="34"/>
      <c r="G89" s="34"/>
      <c r="H89" s="34"/>
      <c r="I89" s="34"/>
      <c r="J89" s="34"/>
      <c r="K89" s="34"/>
      <c r="L89" s="34"/>
      <c r="M89" s="34"/>
      <c r="N89" s="34"/>
      <c r="O89" s="34"/>
      <c r="P89" s="34"/>
      <c r="Q89" s="34"/>
      <c r="R89" s="34"/>
      <c r="S89" s="34"/>
      <c r="T89" s="34"/>
      <c r="U89" s="34"/>
      <c r="V89" s="34"/>
      <c r="W89" s="34"/>
      <c r="X89" s="34"/>
      <c r="Y89" s="34"/>
      <c r="Z89" s="34"/>
      <c r="AA89" s="34"/>
    </row>
    <row r="90" spans="1:27">
      <c r="A90" s="34" t="s">
        <v>266</v>
      </c>
      <c r="B90" s="36" t="s">
        <v>267</v>
      </c>
      <c r="C90" s="34" t="s">
        <v>268</v>
      </c>
      <c r="D90" s="34" t="s">
        <v>269</v>
      </c>
      <c r="E90" s="34" t="s">
        <v>270</v>
      </c>
      <c r="F90" s="34" t="s">
        <v>271</v>
      </c>
      <c r="G90" s="34"/>
      <c r="H90" s="34"/>
      <c r="I90" s="34"/>
      <c r="J90" s="34"/>
      <c r="K90" s="34"/>
      <c r="L90" s="34"/>
      <c r="M90" s="34"/>
      <c r="N90" s="34"/>
      <c r="O90" s="34"/>
      <c r="P90" s="34"/>
      <c r="Q90" s="34"/>
      <c r="R90" s="34"/>
      <c r="S90" s="34"/>
      <c r="T90" s="34"/>
      <c r="U90" s="34"/>
      <c r="V90" s="34"/>
      <c r="W90" s="34"/>
      <c r="X90" s="34"/>
      <c r="Y90" s="34"/>
      <c r="Z90" s="34"/>
      <c r="AA90" s="34"/>
    </row>
    <row r="91" spans="1:27">
      <c r="A91" s="34" t="s">
        <v>272</v>
      </c>
      <c r="B91" s="69">
        <f>B87*1000/(8760*Firm_CFe)</f>
        <v>130.48999580814328</v>
      </c>
      <c r="C91" s="69">
        <f>B87*1000/(8760*0.03)</f>
        <v>956.92663592638405</v>
      </c>
      <c r="D91" s="69">
        <f>B87*1000/(8760*0.05)</f>
        <v>574.15598155583052</v>
      </c>
      <c r="E91" s="69">
        <f>B87*1000/(8760*0.08)</f>
        <v>358.84748847239399</v>
      </c>
      <c r="F91" s="69">
        <f>B87*1000/(8760*0.1)</f>
        <v>287.07799077791526</v>
      </c>
      <c r="G91" s="34"/>
      <c r="H91" s="34"/>
      <c r="I91" s="34"/>
      <c r="J91" s="34"/>
      <c r="K91" s="34"/>
      <c r="L91" s="34"/>
      <c r="M91" s="34"/>
      <c r="N91" s="34"/>
      <c r="O91" s="34"/>
      <c r="P91" s="34"/>
      <c r="Q91" s="34"/>
      <c r="R91" s="34"/>
      <c r="S91" s="34"/>
      <c r="T91" s="34"/>
      <c r="U91" s="34"/>
      <c r="V91" s="34"/>
      <c r="W91" s="34"/>
      <c r="X91" s="34"/>
      <c r="Y91" s="34"/>
      <c r="Z91" s="34"/>
      <c r="AA91" s="34"/>
    </row>
    <row r="92" spans="1:27">
      <c r="A92" s="80" t="s">
        <v>273</v>
      </c>
      <c r="B92" s="69">
        <f t="shared" ref="B92:AA92" si="18">B87*1000/(8760*Firm_CFe)+Firm_VC</f>
        <v>250.48999580814328</v>
      </c>
      <c r="C92" s="34">
        <f t="shared" si="18"/>
        <v>245.92054755686866</v>
      </c>
      <c r="D92" s="34">
        <f t="shared" si="18"/>
        <v>239.60784159123492</v>
      </c>
      <c r="E92" s="34">
        <f t="shared" si="18"/>
        <v>233.71774355635489</v>
      </c>
      <c r="F92" s="34">
        <f t="shared" si="18"/>
        <v>228.17101446521229</v>
      </c>
      <c r="G92" s="34">
        <f t="shared" si="18"/>
        <v>222.99406731347921</v>
      </c>
      <c r="H92" s="34">
        <f t="shared" si="18"/>
        <v>218.02842412712295</v>
      </c>
      <c r="I92" s="34">
        <f t="shared" si="18"/>
        <v>213.37973688883201</v>
      </c>
      <c r="J92" s="34">
        <f t="shared" si="18"/>
        <v>208.99517960726212</v>
      </c>
      <c r="K92" s="34">
        <f t="shared" si="18"/>
        <v>206.22181506169082</v>
      </c>
      <c r="L92" s="34">
        <f t="shared" si="18"/>
        <v>204.98040426510175</v>
      </c>
      <c r="M92" s="34">
        <f t="shared" si="18"/>
        <v>205.19170823047864</v>
      </c>
      <c r="N92" s="34">
        <f t="shared" si="18"/>
        <v>205.4030121958555</v>
      </c>
      <c r="O92" s="34">
        <f t="shared" si="18"/>
        <v>205.61431616123235</v>
      </c>
      <c r="P92" s="34">
        <f t="shared" si="18"/>
        <v>205.82562012660921</v>
      </c>
      <c r="Q92" s="34">
        <f t="shared" si="18"/>
        <v>205.95768510496976</v>
      </c>
      <c r="R92" s="34">
        <f t="shared" si="18"/>
        <v>206.08975008333027</v>
      </c>
      <c r="S92" s="34">
        <f t="shared" si="18"/>
        <v>206.22181506169082</v>
      </c>
      <c r="T92" s="34">
        <f t="shared" si="18"/>
        <v>206.38029303572347</v>
      </c>
      <c r="U92" s="34">
        <f t="shared" si="18"/>
        <v>206.51235801408401</v>
      </c>
      <c r="V92" s="34">
        <f t="shared" si="18"/>
        <v>206.61800999677246</v>
      </c>
      <c r="W92" s="34">
        <f t="shared" si="18"/>
        <v>206.75007497513297</v>
      </c>
      <c r="X92" s="34">
        <f t="shared" si="18"/>
        <v>206.88213995349352</v>
      </c>
      <c r="Y92" s="34">
        <f t="shared" si="18"/>
        <v>207.01420493185407</v>
      </c>
      <c r="Z92" s="34">
        <f t="shared" si="18"/>
        <v>207.14626991021461</v>
      </c>
      <c r="AA92" s="34">
        <f t="shared" si="18"/>
        <v>207.27833488857513</v>
      </c>
    </row>
    <row r="93" spans="1:27">
      <c r="A93" s="39"/>
      <c r="B93" s="36"/>
      <c r="C93" s="34"/>
      <c r="D93" s="34"/>
      <c r="E93" s="34"/>
      <c r="F93" s="34"/>
      <c r="G93" s="34"/>
      <c r="H93" s="34"/>
      <c r="I93" s="34"/>
      <c r="J93" s="34"/>
      <c r="K93" s="34"/>
      <c r="L93" s="34"/>
      <c r="M93" s="34"/>
      <c r="N93" s="34"/>
      <c r="O93" s="34"/>
      <c r="P93" s="34"/>
      <c r="Q93" s="34"/>
      <c r="R93" s="34"/>
      <c r="S93" s="34"/>
      <c r="T93" s="34"/>
      <c r="U93" s="34"/>
      <c r="V93" s="34"/>
      <c r="W93" s="34"/>
      <c r="X93" s="34"/>
      <c r="Y93" s="34"/>
      <c r="Z93" s="34"/>
      <c r="AA93" s="34"/>
    </row>
    <row r="94" spans="1:27">
      <c r="A94" s="34" t="s">
        <v>274</v>
      </c>
      <c r="B94" s="36"/>
      <c r="C94" s="34"/>
      <c r="D94" s="34"/>
      <c r="E94" s="34"/>
      <c r="F94" s="34"/>
      <c r="G94" s="34"/>
      <c r="H94" s="34"/>
      <c r="I94" s="34"/>
      <c r="J94" s="34"/>
      <c r="K94" s="34"/>
      <c r="L94" s="34"/>
      <c r="M94" s="34"/>
      <c r="N94" s="34"/>
      <c r="O94" s="34"/>
      <c r="P94" s="34"/>
      <c r="Q94" s="34"/>
      <c r="R94" s="34"/>
      <c r="S94" s="34"/>
      <c r="T94" s="34"/>
      <c r="U94" s="34"/>
      <c r="V94" s="34"/>
      <c r="W94" s="34"/>
      <c r="X94" s="34"/>
      <c r="Y94" s="34"/>
      <c r="Z94" s="34"/>
      <c r="AA94" s="34"/>
    </row>
    <row r="95" spans="1:27">
      <c r="A95" s="32" t="s">
        <v>275</v>
      </c>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row>
    <row r="96" spans="1:27">
      <c r="A96" s="35"/>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row>
    <row r="97" spans="1:27">
      <c r="A97" s="34" t="s">
        <v>276</v>
      </c>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row>
    <row r="98" spans="1:27">
      <c r="A98" s="34" t="s">
        <v>277</v>
      </c>
      <c r="B98" s="36">
        <f>Coal_Heat_Rate</f>
        <v>8.5470000000000006</v>
      </c>
      <c r="C98" s="34"/>
      <c r="D98" s="34"/>
      <c r="E98" s="34"/>
      <c r="F98" s="34"/>
      <c r="G98" s="34"/>
      <c r="H98" s="34"/>
      <c r="I98" s="34"/>
      <c r="J98" s="34"/>
      <c r="K98" s="34"/>
      <c r="L98" s="34"/>
      <c r="M98" s="34"/>
      <c r="N98" s="34"/>
      <c r="O98" s="34"/>
      <c r="P98" s="34"/>
      <c r="Q98" s="34"/>
      <c r="R98" s="34"/>
      <c r="S98" s="34"/>
      <c r="T98" s="34"/>
      <c r="U98" s="34"/>
      <c r="V98" s="34"/>
      <c r="W98" s="34"/>
      <c r="X98" s="34"/>
      <c r="Y98" s="34"/>
      <c r="Z98" s="34"/>
      <c r="AA98" s="34"/>
    </row>
    <row r="99" spans="1:27">
      <c r="A99" s="35" t="s">
        <v>278</v>
      </c>
      <c r="B99" s="36">
        <f>Coal_FOM</f>
        <v>64.849999999999994</v>
      </c>
      <c r="C99" s="34"/>
      <c r="D99" s="34"/>
      <c r="E99" s="34"/>
      <c r="F99" s="34"/>
      <c r="G99" s="34"/>
      <c r="H99" s="34"/>
      <c r="I99" s="34"/>
      <c r="J99" s="34"/>
      <c r="K99" s="34"/>
      <c r="L99" s="34"/>
      <c r="M99" s="34"/>
      <c r="N99" s="34"/>
      <c r="O99" s="34"/>
      <c r="P99" s="34"/>
      <c r="Q99" s="34"/>
      <c r="R99" s="34"/>
      <c r="S99" s="34"/>
      <c r="T99" s="34"/>
      <c r="U99" s="34"/>
      <c r="V99" s="34"/>
      <c r="W99" s="34"/>
      <c r="X99" s="34"/>
      <c r="Y99" s="34"/>
      <c r="Z99" s="34"/>
      <c r="AA99" s="34"/>
    </row>
    <row r="100" spans="1:27">
      <c r="A100" s="34" t="s">
        <v>279</v>
      </c>
      <c r="B100" s="36">
        <f>Coal_VOM</f>
        <v>4.68</v>
      </c>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row>
    <row r="101" spans="1:27">
      <c r="A101" s="34"/>
      <c r="B101" s="36"/>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row>
    <row r="102" spans="1:27">
      <c r="A102" t="s">
        <v>280</v>
      </c>
    </row>
    <row r="103" spans="1:27">
      <c r="A103" s="68" t="s">
        <v>227</v>
      </c>
      <c r="B103" t="str">
        <f>Model!B2</f>
        <v>Unit: years from base</v>
      </c>
      <c r="C103">
        <f>Model!C2</f>
        <v>0</v>
      </c>
      <c r="D103">
        <f>Model!D2</f>
        <v>1</v>
      </c>
      <c r="E103">
        <f>Model!E2</f>
        <v>2</v>
      </c>
      <c r="F103">
        <f>Model!F2</f>
        <v>3</v>
      </c>
      <c r="G103">
        <f>Model!G2</f>
        <v>4</v>
      </c>
      <c r="H103">
        <f>Model!H2</f>
        <v>5</v>
      </c>
      <c r="I103">
        <f>Model!I2</f>
        <v>6</v>
      </c>
      <c r="J103">
        <f>Model!J2</f>
        <v>7</v>
      </c>
      <c r="K103">
        <f>Model!K2</f>
        <v>8</v>
      </c>
      <c r="L103">
        <f>Model!L2</f>
        <v>9</v>
      </c>
      <c r="M103">
        <f>Model!M2</f>
        <v>10</v>
      </c>
      <c r="N103">
        <f>Model!N2</f>
        <v>11</v>
      </c>
      <c r="O103">
        <f>Model!O2</f>
        <v>12</v>
      </c>
      <c r="P103">
        <f>Model!P2</f>
        <v>13</v>
      </c>
      <c r="Q103">
        <f>Model!Q2</f>
        <v>14</v>
      </c>
      <c r="R103">
        <f>Model!R2</f>
        <v>15</v>
      </c>
      <c r="S103">
        <f>Model!S2</f>
        <v>16</v>
      </c>
      <c r="T103">
        <f>Model!T2</f>
        <v>17</v>
      </c>
      <c r="U103">
        <f>Model!U2</f>
        <v>18</v>
      </c>
      <c r="V103">
        <f>Model!V2</f>
        <v>19</v>
      </c>
      <c r="W103">
        <f>Model!W2</f>
        <v>20</v>
      </c>
      <c r="X103">
        <f>Model!X2</f>
        <v>21</v>
      </c>
      <c r="Y103">
        <f>Model!Y2</f>
        <v>22</v>
      </c>
      <c r="Z103">
        <f>Model!Z2</f>
        <v>23</v>
      </c>
      <c r="AA103">
        <f>Model!AA2</f>
        <v>24</v>
      </c>
    </row>
    <row r="104" spans="1:27">
      <c r="A104" t="s">
        <v>281</v>
      </c>
      <c r="B104">
        <f>Coal_Price</f>
        <v>8.81</v>
      </c>
      <c r="C104">
        <f>Coal_Price*(1+Coal_Esc)^1</f>
        <v>9.1624000000000017</v>
      </c>
      <c r="D104">
        <f>Coal_Price*(1+Coal_Esc)^2</f>
        <v>9.5288960000000014</v>
      </c>
      <c r="E104">
        <f>Coal_Price*(1+Coal_Esc)^3</f>
        <v>9.9100518400000013</v>
      </c>
      <c r="F104">
        <f>Coal_Price*(1+Coal_Esc)^4</f>
        <v>10.306453913600002</v>
      </c>
      <c r="G104">
        <f>Coal_Price*(1+Coal_Esc)^5</f>
        <v>10.718712070144004</v>
      </c>
      <c r="H104">
        <f>Coal_Price*(1+Coal_Esc)^6</f>
        <v>11.147460552949763</v>
      </c>
      <c r="I104">
        <f>Coal_Price*(1+Coal_Esc)^7</f>
        <v>11.593358975067753</v>
      </c>
      <c r="J104">
        <f>Coal_Price*(1+Coal_Esc)^8</f>
        <v>12.057093334070466</v>
      </c>
      <c r="K104">
        <f>Coal_Price*(1+Coal_Esc)^9</f>
        <v>12.539377067433286</v>
      </c>
      <c r="L104">
        <f>Coal_Price*(1+Coal_Esc)^10</f>
        <v>13.040952150130616</v>
      </c>
      <c r="M104">
        <f>Coal_Price*(1+Coal_Esc)^11</f>
        <v>13.56259023613584</v>
      </c>
      <c r="N104">
        <f>Coal_Price*(1+Coal_Esc)^12</f>
        <v>14.105093845581276</v>
      </c>
      <c r="O104">
        <f>Coal_Price*(1+Coal_Esc)^13</f>
        <v>14.669297599404528</v>
      </c>
      <c r="P104">
        <f>Coal_Price*(1+Coal_Esc)^14</f>
        <v>15.25606950338071</v>
      </c>
      <c r="Q104">
        <f>Coal_Price*(1+Coal_Esc)^15</f>
        <v>15.866312283515937</v>
      </c>
      <c r="R104">
        <f>Coal_Price*(1+Coal_Esc)^16</f>
        <v>16.500964774856577</v>
      </c>
      <c r="S104">
        <f>Coal_Price*(1+Coal_Esc)^17</f>
        <v>17.161003365850842</v>
      </c>
      <c r="T104">
        <f>Coal_Price*(1+Coal_Esc)^18</f>
        <v>17.847443500484879</v>
      </c>
      <c r="U104">
        <f>Coal_Price*(1+Coal_Esc)^19</f>
        <v>18.561341240504273</v>
      </c>
      <c r="V104">
        <f>Coal_Price*(1+Coal_Esc)^20</f>
        <v>19.303794890124443</v>
      </c>
      <c r="W104">
        <f>Coal_Price*(1+Coal_Esc)^21</f>
        <v>20.075946685729424</v>
      </c>
      <c r="X104">
        <f>Coal_Price*(1+Coal_Esc)^22</f>
        <v>20.878984553158602</v>
      </c>
      <c r="Y104">
        <f>Coal_Price*(1+Coal_Esc)^23</f>
        <v>21.714143935284945</v>
      </c>
      <c r="Z104">
        <f>Coal_Price*(1+Coal_Esc)^24</f>
        <v>22.582709692696344</v>
      </c>
      <c r="AA104">
        <f>Coal_Price*(1+Coal_Esc)^25</f>
        <v>23.4860180804042</v>
      </c>
    </row>
    <row r="105" spans="1:27">
      <c r="A105" t="s">
        <v>282</v>
      </c>
      <c r="B105">
        <f t="shared" ref="B105:AA105" si="19">B104*Coal_Heat_Rate</f>
        <v>75.299070000000015</v>
      </c>
      <c r="C105">
        <f t="shared" si="19"/>
        <v>78.311032800000021</v>
      </c>
      <c r="D105">
        <f t="shared" si="19"/>
        <v>81.443474112000018</v>
      </c>
      <c r="E105">
        <f t="shared" si="19"/>
        <v>84.701213076480016</v>
      </c>
      <c r="F105">
        <f t="shared" si="19"/>
        <v>88.089261599539228</v>
      </c>
      <c r="G105">
        <f t="shared" si="19"/>
        <v>91.612832063520813</v>
      </c>
      <c r="H105">
        <f t="shared" si="19"/>
        <v>95.277345346061637</v>
      </c>
      <c r="I105">
        <f t="shared" si="19"/>
        <v>99.088439159904098</v>
      </c>
      <c r="J105">
        <f t="shared" si="19"/>
        <v>103.05197672630028</v>
      </c>
      <c r="K105">
        <f t="shared" si="19"/>
        <v>107.1740557953523</v>
      </c>
      <c r="L105">
        <f t="shared" si="19"/>
        <v>111.46101802716639</v>
      </c>
      <c r="M105">
        <f t="shared" si="19"/>
        <v>115.91945874825304</v>
      </c>
      <c r="N105">
        <f t="shared" si="19"/>
        <v>120.55623709818317</v>
      </c>
      <c r="O105">
        <f t="shared" si="19"/>
        <v>125.37848658211051</v>
      </c>
      <c r="P105">
        <f t="shared" si="19"/>
        <v>130.39362604539494</v>
      </c>
      <c r="Q105">
        <f t="shared" si="19"/>
        <v>135.60937108721072</v>
      </c>
      <c r="R105">
        <f t="shared" si="19"/>
        <v>141.03374593069918</v>
      </c>
      <c r="S105">
        <f t="shared" si="19"/>
        <v>146.67509576792716</v>
      </c>
      <c r="T105">
        <f t="shared" si="19"/>
        <v>152.54209959864426</v>
      </c>
      <c r="U105">
        <f t="shared" si="19"/>
        <v>158.64378358259003</v>
      </c>
      <c r="V105">
        <f t="shared" si="19"/>
        <v>164.98953492589362</v>
      </c>
      <c r="W105">
        <f t="shared" si="19"/>
        <v>171.58911632292939</v>
      </c>
      <c r="X105">
        <f t="shared" si="19"/>
        <v>178.45268097584659</v>
      </c>
      <c r="Y105">
        <f t="shared" si="19"/>
        <v>185.59078821488043</v>
      </c>
      <c r="Z105">
        <f t="shared" si="19"/>
        <v>193.01441974347566</v>
      </c>
      <c r="AA105">
        <f t="shared" si="19"/>
        <v>200.73499653321471</v>
      </c>
    </row>
    <row r="106" spans="1:27">
      <c r="A106" t="s">
        <v>283</v>
      </c>
      <c r="B106">
        <f t="shared" ref="B106:AA106" si="20">B105+Coal_VOM</f>
        <v>79.979070000000007</v>
      </c>
      <c r="C106">
        <f t="shared" si="20"/>
        <v>82.991032800000028</v>
      </c>
      <c r="D106">
        <f t="shared" si="20"/>
        <v>86.123474112000025</v>
      </c>
      <c r="E106">
        <f t="shared" si="20"/>
        <v>89.381213076480009</v>
      </c>
      <c r="F106">
        <f t="shared" si="20"/>
        <v>92.76926159953922</v>
      </c>
      <c r="G106">
        <f t="shared" si="20"/>
        <v>96.292832063520819</v>
      </c>
      <c r="H106">
        <f t="shared" si="20"/>
        <v>99.957345346061629</v>
      </c>
      <c r="I106">
        <f t="shared" si="20"/>
        <v>103.76843915990409</v>
      </c>
      <c r="J106">
        <f t="shared" si="20"/>
        <v>107.73197672630027</v>
      </c>
      <c r="K106">
        <f t="shared" si="20"/>
        <v>111.85405579535231</v>
      </c>
      <c r="L106">
        <f t="shared" si="20"/>
        <v>116.14101802716638</v>
      </c>
      <c r="M106">
        <f t="shared" si="20"/>
        <v>120.59945874825303</v>
      </c>
      <c r="N106">
        <f t="shared" si="20"/>
        <v>125.23623709818318</v>
      </c>
      <c r="O106">
        <f t="shared" si="20"/>
        <v>130.0584865821105</v>
      </c>
      <c r="P106">
        <f t="shared" si="20"/>
        <v>135.07362604539495</v>
      </c>
      <c r="Q106">
        <f t="shared" si="20"/>
        <v>140.28937108721072</v>
      </c>
      <c r="R106">
        <f t="shared" si="20"/>
        <v>145.71374593069919</v>
      </c>
      <c r="S106">
        <f t="shared" si="20"/>
        <v>151.35509576792717</v>
      </c>
      <c r="T106">
        <f t="shared" si="20"/>
        <v>157.22209959864426</v>
      </c>
      <c r="U106">
        <f t="shared" si="20"/>
        <v>163.32378358259004</v>
      </c>
      <c r="V106">
        <f t="shared" si="20"/>
        <v>169.66953492589363</v>
      </c>
      <c r="W106">
        <f t="shared" si="20"/>
        <v>176.26911632292939</v>
      </c>
      <c r="X106">
        <f t="shared" si="20"/>
        <v>183.1326809758466</v>
      </c>
      <c r="Y106">
        <f t="shared" si="20"/>
        <v>190.27078821488044</v>
      </c>
      <c r="Z106">
        <f t="shared" si="20"/>
        <v>197.69441974347566</v>
      </c>
      <c r="AA106">
        <f t="shared" si="20"/>
        <v>205.41499653321472</v>
      </c>
    </row>
    <row r="107" spans="1:27">
      <c r="A107" t="s">
        <v>284</v>
      </c>
      <c r="B107" t="str">
        <f>IF(ABS(B106-Coal_SRMC)&lt;1,"OK — reconciles to Coal_SRMC","⚠ CHECK coal price / heat rate")</f>
        <v>OK — reconciles to Coal_SRMC</v>
      </c>
    </row>
    <row r="108" spans="1:27">
      <c r="A108" t="s">
        <v>285</v>
      </c>
      <c r="B108" t="e">
        <f>Model!B14*Coal_FOM/1000</f>
        <v>#VALUE!</v>
      </c>
      <c r="C108">
        <f>Model!C14*Coal_FOM/1000</f>
        <v>1.4266999999999999</v>
      </c>
      <c r="D108">
        <f>Model!D14*Coal_FOM/1000</f>
        <v>1.4266999999999999</v>
      </c>
      <c r="E108">
        <f>Model!E14*Coal_FOM/1000</f>
        <v>1.4266999999999999</v>
      </c>
      <c r="F108">
        <f>Model!F14*Coal_FOM/1000</f>
        <v>1.4266999999999999</v>
      </c>
      <c r="G108">
        <f>Model!G14*Coal_FOM/1000</f>
        <v>1.4266999999999999</v>
      </c>
      <c r="H108">
        <f>Model!H14*Coal_FOM/1000</f>
        <v>1.4266999999999999</v>
      </c>
      <c r="I108">
        <f>Model!I14*Coal_FOM/1000</f>
        <v>1.4266999999999999</v>
      </c>
      <c r="J108">
        <f>Model!J14*Coal_FOM/1000</f>
        <v>1.4266999999999999</v>
      </c>
      <c r="K108">
        <f>Model!K14*Coal_FOM/1000</f>
        <v>1.4209724221176778</v>
      </c>
      <c r="L108">
        <f>Model!L14*Coal_FOM/1000</f>
        <v>1.4014267943358814</v>
      </c>
      <c r="M108">
        <f>Model!M14*Coal_FOM/1000</f>
        <v>1.3690022108226547</v>
      </c>
      <c r="N108">
        <f>Model!N14*Coal_FOM/1000</f>
        <v>1.3319884729837825</v>
      </c>
      <c r="O108">
        <f>Model!O14*Coal_FOM/1000</f>
        <v>1.2858634813461893</v>
      </c>
      <c r="P108">
        <f>Model!P14*Coal_FOM/1000</f>
        <v>1.2365772604249463</v>
      </c>
      <c r="Q108">
        <f>Model!Q14*Coal_FOM/1000</f>
        <v>1.182430018663265</v>
      </c>
      <c r="R108">
        <f>Model!R14*Coal_FOM/1000</f>
        <v>1.123291381885152</v>
      </c>
      <c r="S108">
        <f>Model!S14*Coal_FOM/1000</f>
        <v>1.0642294048044334</v>
      </c>
      <c r="T108">
        <f>Model!T14*Coal_FOM/1000</f>
        <v>1.0006032035988026</v>
      </c>
      <c r="U108">
        <f>Model!U14*Coal_FOM/1000</f>
        <v>0.93789769637867793</v>
      </c>
      <c r="V108">
        <f>Model!V14*Coal_FOM/1000</f>
        <v>0.8746868504133386</v>
      </c>
      <c r="W108">
        <f>Model!W14*Coal_FOM/1000</f>
        <v>0.81050144355073861</v>
      </c>
      <c r="X108">
        <f>Model!X14*Coal_FOM/1000</f>
        <v>0.74943473051839782</v>
      </c>
      <c r="Y108">
        <f>Model!Y14*Coal_FOM/1000</f>
        <v>0.68778176395474644</v>
      </c>
      <c r="Z108">
        <f>Model!Z14*Coal_FOM/1000</f>
        <v>0.62911106038530795</v>
      </c>
      <c r="AA108">
        <f>Model!AA14*Coal_FOM/1000</f>
        <v>0.57317953652638221</v>
      </c>
    </row>
    <row r="109" spans="1:27">
      <c r="A109" t="s">
        <v>286</v>
      </c>
    </row>
    <row r="110" spans="1:27">
      <c r="A110" t="s">
        <v>287</v>
      </c>
      <c r="B110">
        <f>Coal_CFe</f>
        <v>0.45</v>
      </c>
      <c r="C110">
        <f>Coal_CFe*(1-Coal_Degrade)^1</f>
        <v>0.44324999999999998</v>
      </c>
      <c r="D110">
        <f>Coal_CFe*(1-Coal_Degrade)^2</f>
        <v>0.43660125</v>
      </c>
      <c r="E110">
        <f>Coal_CFe*(1-Coal_Degrade)^3</f>
        <v>0.43005223125000003</v>
      </c>
      <c r="F110">
        <f>Coal_CFe*(1-Coal_Degrade)^4</f>
        <v>0.42360144778125003</v>
      </c>
      <c r="G110">
        <f>Coal_CFe*(1-Coal_Degrade)^5</f>
        <v>0.41724742606453125</v>
      </c>
      <c r="H110">
        <f>Coal_CFe*(1-Coal_Degrade)^6</f>
        <v>0.41098871467356329</v>
      </c>
      <c r="I110">
        <f>Coal_CFe*(1-Coal_Degrade)^7</f>
        <v>0.40482388395345986</v>
      </c>
      <c r="J110">
        <f>Coal_CFe*(1-Coal_Degrade)^8</f>
        <v>0.39875152569415795</v>
      </c>
      <c r="K110">
        <f>Coal_CFe*(1-Coal_Degrade)^9</f>
        <v>0.39277025280874556</v>
      </c>
      <c r="L110">
        <f>Coal_CFe*(1-Coal_Degrade)^10</f>
        <v>0.38687869901661437</v>
      </c>
      <c r="M110">
        <f>Coal_CFe*(1-Coal_Degrade)^11</f>
        <v>0.38107551853136518</v>
      </c>
      <c r="N110">
        <f>Coal_CFe*(1-Coal_Degrade)^12</f>
        <v>0.37535938575339473</v>
      </c>
      <c r="O110">
        <f>Coal_CFe*(1-Coal_Degrade)^13</f>
        <v>0.36972899496709377</v>
      </c>
      <c r="P110">
        <f>Coal_CFe*(1-Coal_Degrade)^14</f>
        <v>0.36418306004258738</v>
      </c>
      <c r="Q110">
        <f>Coal_CFe*(1-Coal_Degrade)^15</f>
        <v>0.35872031414194855</v>
      </c>
      <c r="R110">
        <f>Coal_CFe*(1-Coal_Degrade)^16</f>
        <v>0.35333950942981934</v>
      </c>
      <c r="S110">
        <f>Coal_CFe*(1-Coal_Degrade)^17</f>
        <v>0.34803941678837202</v>
      </c>
      <c r="T110">
        <f>Coal_CFe*(1-Coal_Degrade)^18</f>
        <v>0.34281882553654647</v>
      </c>
      <c r="U110">
        <f>Coal_CFe*(1-Coal_Degrade)^19</f>
        <v>0.33767654315349827</v>
      </c>
      <c r="V110">
        <f>Coal_CFe*(1-Coal_Degrade)^20</f>
        <v>0.3326113950061958</v>
      </c>
      <c r="W110">
        <f>Coal_CFe*(1-Coal_Degrade)^21</f>
        <v>0.32762222408110286</v>
      </c>
      <c r="X110">
        <f>Coal_CFe*(1-Coal_Degrade)^22</f>
        <v>0.32270789071988631</v>
      </c>
      <c r="Y110">
        <f>Coal_CFe*(1-Coal_Degrade)^23</f>
        <v>0.31786727235908802</v>
      </c>
      <c r="Z110">
        <f>Coal_CFe*(1-Coal_Degrade)^24</f>
        <v>0.31309926327370169</v>
      </c>
      <c r="AA110">
        <f>Coal_CFe*(1-Coal_Degrade)^25</f>
        <v>0.30840277432459617</v>
      </c>
    </row>
    <row r="111" spans="1:27">
      <c r="A111" t="s">
        <v>288</v>
      </c>
      <c r="B111">
        <f>Coal_CFp</f>
        <v>0.75</v>
      </c>
      <c r="C111">
        <f>Coal_CFp*(1-Coal_Degrade)^1</f>
        <v>0.73875000000000002</v>
      </c>
      <c r="D111">
        <f>Coal_CFp*(1-Coal_Degrade)^2</f>
        <v>0.72766874999999998</v>
      </c>
      <c r="E111">
        <f>Coal_CFp*(1-Coal_Degrade)^3</f>
        <v>0.71675371875000005</v>
      </c>
      <c r="F111">
        <f>Coal_CFp*(1-Coal_Degrade)^4</f>
        <v>0.70600241296874999</v>
      </c>
      <c r="G111">
        <f>Coal_CFp*(1-Coal_Degrade)^5</f>
        <v>0.69541237677421874</v>
      </c>
      <c r="H111">
        <f>Coal_CFp*(1-Coal_Degrade)^6</f>
        <v>0.68498119112260547</v>
      </c>
      <c r="I111">
        <f>Coal_CFp*(1-Coal_Degrade)^7</f>
        <v>0.67470647325576638</v>
      </c>
      <c r="J111">
        <f>Coal_CFp*(1-Coal_Degrade)^8</f>
        <v>0.66458587615692988</v>
      </c>
      <c r="K111">
        <f>Coal_CFp*(1-Coal_Degrade)^9</f>
        <v>0.65461708801457597</v>
      </c>
      <c r="L111">
        <f>Coal_CFp*(1-Coal_Degrade)^10</f>
        <v>0.64479783169435734</v>
      </c>
      <c r="M111">
        <f>Coal_CFp*(1-Coal_Degrade)^11</f>
        <v>0.63512586421894202</v>
      </c>
      <c r="N111">
        <f>Coal_CFp*(1-Coal_Degrade)^12</f>
        <v>0.62559897625565786</v>
      </c>
      <c r="O111">
        <f>Coal_CFp*(1-Coal_Degrade)^13</f>
        <v>0.61621499161182292</v>
      </c>
      <c r="P111">
        <f>Coal_CFp*(1-Coal_Degrade)^14</f>
        <v>0.60697176673764563</v>
      </c>
      <c r="Q111">
        <f>Coal_CFp*(1-Coal_Degrade)^15</f>
        <v>0.59786719023658086</v>
      </c>
      <c r="R111">
        <f>Coal_CFp*(1-Coal_Degrade)^16</f>
        <v>0.58889918238303218</v>
      </c>
      <c r="S111">
        <f>Coal_CFp*(1-Coal_Degrade)^17</f>
        <v>0.58006569464728663</v>
      </c>
      <c r="T111">
        <f>Coal_CFp*(1-Coal_Degrade)^18</f>
        <v>0.57136470922757743</v>
      </c>
      <c r="U111">
        <f>Coal_CFp*(1-Coal_Degrade)^19</f>
        <v>0.56279423858916378</v>
      </c>
      <c r="V111">
        <f>Coal_CFp*(1-Coal_Degrade)^20</f>
        <v>0.55435232501032639</v>
      </c>
      <c r="W111">
        <f>Coal_CFp*(1-Coal_Degrade)^21</f>
        <v>0.5460370401351714</v>
      </c>
      <c r="X111">
        <f>Coal_CFp*(1-Coal_Degrade)^22</f>
        <v>0.53784648453314388</v>
      </c>
      <c r="Y111">
        <f>Coal_CFp*(1-Coal_Degrade)^23</f>
        <v>0.52977878726514671</v>
      </c>
      <c r="Z111">
        <f>Coal_CFp*(1-Coal_Degrade)^24</f>
        <v>0.52183210545616954</v>
      </c>
      <c r="AA111">
        <f>Coal_CFp*(1-Coal_Degrade)^25</f>
        <v>0.51400462387432699</v>
      </c>
    </row>
    <row r="114" spans="1:1">
      <c r="A114" s="68"/>
    </row>
    <row r="117" spans="1:1">
      <c r="A117" s="41"/>
    </row>
  </sheetData>
  <pageMargins left="0.75" right="0.75" top="1" bottom="1" header="0.5" footer="0.5"/>
  <pageSetup paperSize="9" orientation="portrait"/>
  <headerFooter>
    <oddHeader>&amp;C&amp;"Aptos"&amp;12&amp;KFF0000 OFFICIAL&amp;1#_x000D_&amp;"Calibri"&amp;11&amp;K000000&amp;"Calibri"&amp;11&amp;K000000&amp;"Calibri"&amp;11&amp;K000000&amp;"Calibri"&amp;11&amp;K000000&amp;"Calibri"&amp;11&amp;K000000&amp;"Calibri"&amp;11&amp;K000000&amp;"Calibri"&amp;11&amp;K000000&amp;"Aptos"&amp;1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66"/>
  <sheetViews>
    <sheetView showGridLines="0" topLeftCell="A3" workbookViewId="0">
      <selection sqref="A1:AC1"/>
    </sheetView>
  </sheetViews>
  <sheetFormatPr defaultRowHeight="15"/>
  <cols>
    <col min="1" max="1" width="52" customWidth="1"/>
    <col min="2" max="2" width="12" customWidth="1"/>
    <col min="3" max="3" width="10" customWidth="1"/>
    <col min="4" max="29" width="9" customWidth="1"/>
  </cols>
  <sheetData>
    <row r="1" spans="1:29" ht="16.149999999999999" customHeight="1">
      <c r="A1" s="105" t="s">
        <v>289</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row>
    <row r="2" spans="1:29">
      <c r="A2" t="s">
        <v>290</v>
      </c>
      <c r="B2" t="s">
        <v>291</v>
      </c>
      <c r="C2" t="s">
        <v>292</v>
      </c>
      <c r="D2">
        <v>0</v>
      </c>
      <c r="E2">
        <v>1</v>
      </c>
      <c r="F2">
        <v>2</v>
      </c>
      <c r="G2">
        <v>3</v>
      </c>
      <c r="H2">
        <v>4</v>
      </c>
      <c r="I2">
        <v>5</v>
      </c>
      <c r="J2">
        <v>6</v>
      </c>
      <c r="K2">
        <v>7</v>
      </c>
      <c r="L2">
        <v>8</v>
      </c>
      <c r="M2">
        <v>9</v>
      </c>
      <c r="N2">
        <v>10</v>
      </c>
      <c r="O2">
        <v>11</v>
      </c>
      <c r="P2">
        <v>12</v>
      </c>
      <c r="Q2">
        <v>13</v>
      </c>
      <c r="R2">
        <v>14</v>
      </c>
      <c r="S2">
        <v>15</v>
      </c>
      <c r="T2">
        <v>16</v>
      </c>
      <c r="U2">
        <v>17</v>
      </c>
      <c r="V2">
        <v>18</v>
      </c>
      <c r="W2">
        <v>19</v>
      </c>
      <c r="X2">
        <v>20</v>
      </c>
      <c r="Y2">
        <v>21</v>
      </c>
      <c r="Z2">
        <v>22</v>
      </c>
      <c r="AA2">
        <v>23</v>
      </c>
      <c r="AB2">
        <v>24</v>
      </c>
      <c r="AC2">
        <v>25</v>
      </c>
    </row>
    <row r="3" spans="1:29">
      <c r="A3" t="s">
        <v>293</v>
      </c>
      <c r="D3" t="s">
        <v>294</v>
      </c>
      <c r="E3" t="s">
        <v>295</v>
      </c>
      <c r="F3" t="s">
        <v>296</v>
      </c>
      <c r="G3" t="s">
        <v>297</v>
      </c>
      <c r="H3" t="s">
        <v>298</v>
      </c>
      <c r="I3" t="s">
        <v>299</v>
      </c>
      <c r="J3" t="s">
        <v>300</v>
      </c>
      <c r="K3" t="s">
        <v>301</v>
      </c>
      <c r="L3" t="s">
        <v>302</v>
      </c>
      <c r="M3" t="s">
        <v>303</v>
      </c>
      <c r="N3" t="s">
        <v>304</v>
      </c>
      <c r="O3" t="s">
        <v>305</v>
      </c>
      <c r="P3" t="s">
        <v>306</v>
      </c>
      <c r="Q3" t="s">
        <v>307</v>
      </c>
      <c r="R3" t="s">
        <v>308</v>
      </c>
      <c r="S3" t="s">
        <v>309</v>
      </c>
      <c r="T3" t="s">
        <v>310</v>
      </c>
      <c r="U3" t="s">
        <v>311</v>
      </c>
      <c r="V3" t="s">
        <v>312</v>
      </c>
      <c r="W3" t="s">
        <v>313</v>
      </c>
      <c r="X3" t="s">
        <v>314</v>
      </c>
      <c r="Y3" t="s">
        <v>315</v>
      </c>
      <c r="Z3" t="s">
        <v>316</v>
      </c>
      <c r="AA3" t="s">
        <v>317</v>
      </c>
      <c r="AB3" t="s">
        <v>318</v>
      </c>
      <c r="AC3" t="s">
        <v>319</v>
      </c>
    </row>
    <row r="5" spans="1:29" ht="16.149999999999999" customHeight="1">
      <c r="A5" t="s">
        <v>320</v>
      </c>
    </row>
    <row r="6" spans="1:29" ht="15" hidden="1" customHeight="1">
      <c r="A6" t="s">
        <v>321</v>
      </c>
      <c r="B6" t="s">
        <v>322</v>
      </c>
      <c r="D6">
        <f>0</f>
        <v>0</v>
      </c>
      <c r="E6">
        <f>0</f>
        <v>0</v>
      </c>
      <c r="F6">
        <f>0</f>
        <v>0</v>
      </c>
      <c r="G6">
        <f>0</f>
        <v>0</v>
      </c>
      <c r="H6">
        <f>0</f>
        <v>0</v>
      </c>
      <c r="I6">
        <f>0</f>
        <v>0</v>
      </c>
      <c r="J6">
        <f>0</f>
        <v>0</v>
      </c>
      <c r="K6">
        <f>0</f>
        <v>0</v>
      </c>
      <c r="L6">
        <f>0</f>
        <v>0</v>
      </c>
      <c r="M6">
        <f>0</f>
        <v>0</v>
      </c>
      <c r="N6">
        <f>0</f>
        <v>0</v>
      </c>
      <c r="O6">
        <f>0</f>
        <v>0</v>
      </c>
      <c r="P6">
        <f>0</f>
        <v>0</v>
      </c>
      <c r="Q6">
        <f>0</f>
        <v>0</v>
      </c>
      <c r="R6">
        <f>0</f>
        <v>0</v>
      </c>
      <c r="S6">
        <f>0</f>
        <v>0</v>
      </c>
      <c r="T6">
        <f>0</f>
        <v>0</v>
      </c>
      <c r="U6">
        <f>0</f>
        <v>0</v>
      </c>
      <c r="V6">
        <f>0</f>
        <v>0</v>
      </c>
      <c r="W6">
        <f>0</f>
        <v>0</v>
      </c>
      <c r="X6">
        <f>0</f>
        <v>0</v>
      </c>
      <c r="Y6">
        <f>0</f>
        <v>0</v>
      </c>
      <c r="Z6">
        <f>0</f>
        <v>0</v>
      </c>
      <c r="AA6">
        <f>0</f>
        <v>0</v>
      </c>
      <c r="AB6">
        <f>0</f>
        <v>0</v>
      </c>
      <c r="AC6">
        <f>0</f>
        <v>0</v>
      </c>
    </row>
    <row r="7" spans="1:29" ht="15" hidden="1" customHeight="1">
      <c r="A7" t="s">
        <v>323</v>
      </c>
      <c r="B7" t="s">
        <v>322</v>
      </c>
      <c r="D7">
        <f>0</f>
        <v>0</v>
      </c>
      <c r="E7">
        <f>0</f>
        <v>0</v>
      </c>
      <c r="F7">
        <f>0</f>
        <v>0</v>
      </c>
      <c r="G7">
        <f>0</f>
        <v>0</v>
      </c>
      <c r="H7">
        <f>0</f>
        <v>0</v>
      </c>
      <c r="I7">
        <f>0</f>
        <v>0</v>
      </c>
      <c r="J7">
        <f>0</f>
        <v>0</v>
      </c>
      <c r="K7">
        <f>0</f>
        <v>0</v>
      </c>
      <c r="L7">
        <f>0</f>
        <v>0</v>
      </c>
      <c r="M7">
        <f>0</f>
        <v>0</v>
      </c>
      <c r="N7">
        <f>0</f>
        <v>0</v>
      </c>
      <c r="O7">
        <f>0</f>
        <v>0</v>
      </c>
      <c r="P7">
        <f>0</f>
        <v>0</v>
      </c>
      <c r="Q7">
        <f>0</f>
        <v>0</v>
      </c>
      <c r="R7">
        <f>0</f>
        <v>0</v>
      </c>
      <c r="S7">
        <f>0</f>
        <v>0</v>
      </c>
      <c r="T7">
        <f>0</f>
        <v>0</v>
      </c>
      <c r="U7">
        <f>0</f>
        <v>0</v>
      </c>
      <c r="V7">
        <f>0</f>
        <v>0</v>
      </c>
      <c r="W7">
        <f>0</f>
        <v>0</v>
      </c>
      <c r="X7">
        <f>0</f>
        <v>0</v>
      </c>
      <c r="Y7">
        <f>0</f>
        <v>0</v>
      </c>
      <c r="Z7">
        <f>0</f>
        <v>0</v>
      </c>
      <c r="AA7">
        <f>0</f>
        <v>0</v>
      </c>
      <c r="AB7">
        <f>0</f>
        <v>0</v>
      </c>
      <c r="AC7">
        <f>0</f>
        <v>0</v>
      </c>
    </row>
    <row r="8" spans="1:29" ht="15" customHeight="1">
      <c r="A8" t="s">
        <v>324</v>
      </c>
      <c r="B8" t="s">
        <v>18</v>
      </c>
      <c r="D8">
        <f>Dem_Start</f>
        <v>180</v>
      </c>
      <c r="E8">
        <f t="shared" ref="E8:AC8" si="0">Dem_Start*(1+Dem_Growth)^E2</f>
        <v>184.49999999999997</v>
      </c>
      <c r="F8">
        <f t="shared" si="0"/>
        <v>189.11249999999998</v>
      </c>
      <c r="G8">
        <f t="shared" si="0"/>
        <v>193.84031249999998</v>
      </c>
      <c r="H8">
        <f t="shared" si="0"/>
        <v>198.68632031249996</v>
      </c>
      <c r="I8">
        <f t="shared" si="0"/>
        <v>203.65347832031244</v>
      </c>
      <c r="J8">
        <f t="shared" si="0"/>
        <v>208.74481527832023</v>
      </c>
      <c r="K8">
        <f t="shared" si="0"/>
        <v>213.96343566027824</v>
      </c>
      <c r="L8">
        <f t="shared" si="0"/>
        <v>219.31252155178518</v>
      </c>
      <c r="M8">
        <f t="shared" si="0"/>
        <v>224.79533459057978</v>
      </c>
      <c r="N8">
        <f t="shared" si="0"/>
        <v>230.41521795534427</v>
      </c>
      <c r="O8">
        <f t="shared" si="0"/>
        <v>236.17559840422788</v>
      </c>
      <c r="P8">
        <f t="shared" si="0"/>
        <v>242.07998836433356</v>
      </c>
      <c r="Q8">
        <f t="shared" si="0"/>
        <v>248.13198807344187</v>
      </c>
      <c r="R8">
        <f t="shared" si="0"/>
        <v>254.33528777527789</v>
      </c>
      <c r="S8">
        <f t="shared" si="0"/>
        <v>260.69366996965988</v>
      </c>
      <c r="T8">
        <f t="shared" si="0"/>
        <v>267.21101171890137</v>
      </c>
      <c r="U8">
        <f t="shared" si="0"/>
        <v>273.89128701187389</v>
      </c>
      <c r="V8">
        <f t="shared" si="0"/>
        <v>280.7385691871707</v>
      </c>
      <c r="W8">
        <f t="shared" si="0"/>
        <v>287.75703341684999</v>
      </c>
      <c r="X8">
        <f t="shared" si="0"/>
        <v>294.95095925227122</v>
      </c>
      <c r="Y8">
        <f t="shared" si="0"/>
        <v>302.32473323357794</v>
      </c>
      <c r="Z8">
        <f t="shared" si="0"/>
        <v>309.88285156441736</v>
      </c>
      <c r="AA8">
        <f t="shared" si="0"/>
        <v>317.62992285352783</v>
      </c>
      <c r="AB8">
        <f t="shared" si="0"/>
        <v>325.57067092486602</v>
      </c>
      <c r="AC8">
        <f t="shared" si="0"/>
        <v>333.70993769798758</v>
      </c>
    </row>
    <row r="9" spans="1:29" ht="15" customHeight="1">
      <c r="A9" t="s">
        <v>325</v>
      </c>
      <c r="B9" t="s">
        <v>18</v>
      </c>
      <c r="C9" t="s">
        <v>326</v>
      </c>
      <c r="D9">
        <f>D8</f>
        <v>180</v>
      </c>
      <c r="E9">
        <f t="shared" ref="E9:AC9" si="1">E8*(1+E6)</f>
        <v>184.49999999999997</v>
      </c>
      <c r="F9">
        <f t="shared" si="1"/>
        <v>189.11249999999998</v>
      </c>
      <c r="G9">
        <f t="shared" si="1"/>
        <v>193.84031249999998</v>
      </c>
      <c r="H9">
        <f t="shared" si="1"/>
        <v>198.68632031249996</v>
      </c>
      <c r="I9">
        <f t="shared" si="1"/>
        <v>203.65347832031244</v>
      </c>
      <c r="J9">
        <f t="shared" si="1"/>
        <v>208.74481527832023</v>
      </c>
      <c r="K9">
        <f t="shared" si="1"/>
        <v>213.96343566027824</v>
      </c>
      <c r="L9">
        <f t="shared" si="1"/>
        <v>219.31252155178518</v>
      </c>
      <c r="M9">
        <f t="shared" si="1"/>
        <v>224.79533459057978</v>
      </c>
      <c r="N9">
        <f t="shared" si="1"/>
        <v>230.41521795534427</v>
      </c>
      <c r="O9">
        <f t="shared" si="1"/>
        <v>236.17559840422788</v>
      </c>
      <c r="P9">
        <f t="shared" si="1"/>
        <v>242.07998836433356</v>
      </c>
      <c r="Q9">
        <f t="shared" si="1"/>
        <v>248.13198807344187</v>
      </c>
      <c r="R9">
        <f t="shared" si="1"/>
        <v>254.33528777527789</v>
      </c>
      <c r="S9">
        <f t="shared" si="1"/>
        <v>260.69366996965988</v>
      </c>
      <c r="T9">
        <f t="shared" si="1"/>
        <v>267.21101171890137</v>
      </c>
      <c r="U9">
        <f t="shared" si="1"/>
        <v>273.89128701187389</v>
      </c>
      <c r="V9">
        <f t="shared" si="1"/>
        <v>280.7385691871707</v>
      </c>
      <c r="W9">
        <f t="shared" si="1"/>
        <v>287.75703341684999</v>
      </c>
      <c r="X9">
        <f t="shared" si="1"/>
        <v>294.95095925227122</v>
      </c>
      <c r="Y9">
        <f t="shared" si="1"/>
        <v>302.32473323357794</v>
      </c>
      <c r="Z9">
        <f t="shared" si="1"/>
        <v>309.88285156441736</v>
      </c>
      <c r="AA9">
        <f t="shared" si="1"/>
        <v>317.62992285352783</v>
      </c>
      <c r="AB9">
        <f t="shared" si="1"/>
        <v>325.57067092486602</v>
      </c>
      <c r="AC9">
        <f t="shared" si="1"/>
        <v>333.70993769798758</v>
      </c>
    </row>
    <row r="10" spans="1:29" ht="15" customHeight="1">
      <c r="A10" t="s">
        <v>327</v>
      </c>
      <c r="B10" t="s">
        <v>26</v>
      </c>
      <c r="D10">
        <f>Peak_Start</f>
        <v>36</v>
      </c>
      <c r="E10">
        <f t="shared" ref="E10:AC10" si="2">Peak_Start*(1+Peak_Growth)^E2</f>
        <v>36.72</v>
      </c>
      <c r="F10">
        <f t="shared" si="2"/>
        <v>37.4544</v>
      </c>
      <c r="G10">
        <f t="shared" si="2"/>
        <v>38.203488</v>
      </c>
      <c r="H10">
        <f t="shared" si="2"/>
        <v>38.967557759999998</v>
      </c>
      <c r="I10">
        <f t="shared" si="2"/>
        <v>39.746908915200002</v>
      </c>
      <c r="J10">
        <f t="shared" si="2"/>
        <v>40.541847093504003</v>
      </c>
      <c r="K10">
        <f t="shared" si="2"/>
        <v>41.352684035374075</v>
      </c>
      <c r="L10">
        <f t="shared" si="2"/>
        <v>42.179737716081561</v>
      </c>
      <c r="M10">
        <f t="shared" si="2"/>
        <v>43.02333247040319</v>
      </c>
      <c r="N10">
        <f t="shared" si="2"/>
        <v>43.883799119811258</v>
      </c>
      <c r="O10">
        <f t="shared" si="2"/>
        <v>44.76147510220747</v>
      </c>
      <c r="P10">
        <f t="shared" si="2"/>
        <v>45.65670460425163</v>
      </c>
      <c r="Q10">
        <f t="shared" si="2"/>
        <v>46.56983869633666</v>
      </c>
      <c r="R10">
        <f t="shared" si="2"/>
        <v>47.501235470263396</v>
      </c>
      <c r="S10">
        <f t="shared" si="2"/>
        <v>48.451260179668651</v>
      </c>
      <c r="T10">
        <f t="shared" si="2"/>
        <v>49.420285383262033</v>
      </c>
      <c r="U10">
        <f t="shared" si="2"/>
        <v>50.408691090927277</v>
      </c>
      <c r="V10">
        <f t="shared" si="2"/>
        <v>51.416864912745815</v>
      </c>
      <c r="W10">
        <f t="shared" si="2"/>
        <v>52.445202211000733</v>
      </c>
      <c r="X10">
        <f t="shared" si="2"/>
        <v>53.49410625522075</v>
      </c>
      <c r="Y10">
        <f t="shared" si="2"/>
        <v>54.563988380325164</v>
      </c>
      <c r="Z10">
        <f t="shared" si="2"/>
        <v>55.655268147931672</v>
      </c>
      <c r="AA10">
        <f t="shared" si="2"/>
        <v>56.768373510890292</v>
      </c>
      <c r="AB10">
        <f t="shared" si="2"/>
        <v>57.903740981108101</v>
      </c>
      <c r="AC10">
        <f t="shared" si="2"/>
        <v>59.061815800730265</v>
      </c>
    </row>
    <row r="11" spans="1:29" ht="15" customHeight="1">
      <c r="A11" t="s">
        <v>328</v>
      </c>
      <c r="B11" t="s">
        <v>26</v>
      </c>
      <c r="C11" t="s">
        <v>329</v>
      </c>
      <c r="D11">
        <f>D10</f>
        <v>36</v>
      </c>
      <c r="E11">
        <f t="shared" ref="E11:AC11" si="3">E10*(1+E6)</f>
        <v>36.72</v>
      </c>
      <c r="F11">
        <f t="shared" si="3"/>
        <v>37.4544</v>
      </c>
      <c r="G11">
        <f t="shared" si="3"/>
        <v>38.203488</v>
      </c>
      <c r="H11">
        <f t="shared" si="3"/>
        <v>38.967557759999998</v>
      </c>
      <c r="I11">
        <f t="shared" si="3"/>
        <v>39.746908915200002</v>
      </c>
      <c r="J11">
        <f t="shared" si="3"/>
        <v>40.541847093504003</v>
      </c>
      <c r="K11">
        <f t="shared" si="3"/>
        <v>41.352684035374075</v>
      </c>
      <c r="L11">
        <f t="shared" si="3"/>
        <v>42.179737716081561</v>
      </c>
      <c r="M11">
        <f t="shared" si="3"/>
        <v>43.02333247040319</v>
      </c>
      <c r="N11">
        <f t="shared" si="3"/>
        <v>43.883799119811258</v>
      </c>
      <c r="O11">
        <f t="shared" si="3"/>
        <v>44.76147510220747</v>
      </c>
      <c r="P11">
        <f t="shared" si="3"/>
        <v>45.65670460425163</v>
      </c>
      <c r="Q11">
        <f t="shared" si="3"/>
        <v>46.56983869633666</v>
      </c>
      <c r="R11">
        <f t="shared" si="3"/>
        <v>47.501235470263396</v>
      </c>
      <c r="S11">
        <f t="shared" si="3"/>
        <v>48.451260179668651</v>
      </c>
      <c r="T11">
        <f t="shared" si="3"/>
        <v>49.420285383262033</v>
      </c>
      <c r="U11">
        <f t="shared" si="3"/>
        <v>50.408691090927277</v>
      </c>
      <c r="V11">
        <f t="shared" si="3"/>
        <v>51.416864912745815</v>
      </c>
      <c r="W11">
        <f t="shared" si="3"/>
        <v>52.445202211000733</v>
      </c>
      <c r="X11">
        <f t="shared" si="3"/>
        <v>53.49410625522075</v>
      </c>
      <c r="Y11">
        <f t="shared" si="3"/>
        <v>54.563988380325164</v>
      </c>
      <c r="Z11">
        <f t="shared" si="3"/>
        <v>55.655268147931672</v>
      </c>
      <c r="AA11">
        <f t="shared" si="3"/>
        <v>56.768373510890292</v>
      </c>
      <c r="AB11">
        <f t="shared" si="3"/>
        <v>57.903740981108101</v>
      </c>
      <c r="AC11">
        <f t="shared" si="3"/>
        <v>59.061815800730265</v>
      </c>
    </row>
    <row r="12" spans="1:29" ht="16.149999999999999" customHeight="1">
      <c r="A12" t="s">
        <v>330</v>
      </c>
    </row>
    <row r="13" spans="1:29" ht="15" customHeight="1">
      <c r="A13" t="s">
        <v>331</v>
      </c>
      <c r="B13" t="s">
        <v>44</v>
      </c>
      <c r="C13" t="s">
        <v>332</v>
      </c>
      <c r="D13">
        <f>Coal_SRMC</f>
        <v>80</v>
      </c>
      <c r="E13">
        <f t="shared" ref="E13:AC13" si="4">Coal_SRMC*(1+Coal_Esc)^E2</f>
        <v>83.2</v>
      </c>
      <c r="F13">
        <f t="shared" si="4"/>
        <v>86.528000000000006</v>
      </c>
      <c r="G13">
        <f t="shared" si="4"/>
        <v>89.989120000000014</v>
      </c>
      <c r="H13">
        <f t="shared" si="4"/>
        <v>93.58868480000001</v>
      </c>
      <c r="I13">
        <f t="shared" si="4"/>
        <v>97.332232192000021</v>
      </c>
      <c r="J13">
        <f t="shared" si="4"/>
        <v>101.22552147968003</v>
      </c>
      <c r="K13">
        <f t="shared" si="4"/>
        <v>105.27454233886722</v>
      </c>
      <c r="L13">
        <f t="shared" si="4"/>
        <v>109.48552403242192</v>
      </c>
      <c r="M13">
        <f t="shared" si="4"/>
        <v>113.86494499371881</v>
      </c>
      <c r="N13">
        <f t="shared" si="4"/>
        <v>118.41954279346757</v>
      </c>
      <c r="O13">
        <f t="shared" si="4"/>
        <v>123.15632450520626</v>
      </c>
      <c r="P13">
        <f t="shared" si="4"/>
        <v>128.08257748541453</v>
      </c>
      <c r="Q13">
        <f t="shared" si="4"/>
        <v>133.20588058483114</v>
      </c>
      <c r="R13">
        <f t="shared" si="4"/>
        <v>138.53411580822436</v>
      </c>
      <c r="S13">
        <f t="shared" si="4"/>
        <v>144.07548044055335</v>
      </c>
      <c r="T13">
        <f t="shared" si="4"/>
        <v>149.83849965817549</v>
      </c>
      <c r="U13">
        <f t="shared" si="4"/>
        <v>155.83203964450252</v>
      </c>
      <c r="V13">
        <f t="shared" si="4"/>
        <v>162.06532123028265</v>
      </c>
      <c r="W13">
        <f t="shared" si="4"/>
        <v>168.54793407949393</v>
      </c>
      <c r="X13">
        <f t="shared" si="4"/>
        <v>175.28985144267369</v>
      </c>
      <c r="Y13">
        <f t="shared" si="4"/>
        <v>182.30144550038068</v>
      </c>
      <c r="Z13">
        <f t="shared" si="4"/>
        <v>189.59350332039591</v>
      </c>
      <c r="AA13">
        <f t="shared" si="4"/>
        <v>197.17724345321173</v>
      </c>
      <c r="AB13">
        <f t="shared" si="4"/>
        <v>205.06433319134021</v>
      </c>
      <c r="AC13">
        <f t="shared" si="4"/>
        <v>213.26690651899386</v>
      </c>
    </row>
    <row r="14" spans="1:29" ht="15" customHeight="1">
      <c r="A14" t="s">
        <v>333</v>
      </c>
      <c r="B14" t="s">
        <v>26</v>
      </c>
      <c r="C14" t="s">
        <v>334</v>
      </c>
      <c r="D14">
        <f>Coal_Start</f>
        <v>22</v>
      </c>
      <c r="E14">
        <f t="shared" ref="E14:AC14" si="5">MAX(0,D14*(1-Coal_Accel*MAX(0,(D13-D27)/D13)))</f>
        <v>18.7</v>
      </c>
      <c r="F14" t="e">
        <f t="shared" si="5"/>
        <v>#REF!</v>
      </c>
      <c r="G14" t="e">
        <f t="shared" si="5"/>
        <v>#REF!</v>
      </c>
      <c r="H14" t="e">
        <f t="shared" si="5"/>
        <v>#REF!</v>
      </c>
      <c r="I14" t="e">
        <f t="shared" si="5"/>
        <v>#REF!</v>
      </c>
      <c r="J14" t="e">
        <f t="shared" si="5"/>
        <v>#REF!</v>
      </c>
      <c r="K14" t="e">
        <f t="shared" si="5"/>
        <v>#REF!</v>
      </c>
      <c r="L14" t="e">
        <f t="shared" si="5"/>
        <v>#REF!</v>
      </c>
      <c r="M14" t="e">
        <f t="shared" si="5"/>
        <v>#REF!</v>
      </c>
      <c r="N14" t="e">
        <f t="shared" si="5"/>
        <v>#REF!</v>
      </c>
      <c r="O14" t="e">
        <f t="shared" si="5"/>
        <v>#REF!</v>
      </c>
      <c r="P14" t="e">
        <f t="shared" si="5"/>
        <v>#REF!</v>
      </c>
      <c r="Q14" t="e">
        <f t="shared" si="5"/>
        <v>#REF!</v>
      </c>
      <c r="R14" t="e">
        <f t="shared" si="5"/>
        <v>#REF!</v>
      </c>
      <c r="S14" t="e">
        <f t="shared" si="5"/>
        <v>#REF!</v>
      </c>
      <c r="T14" t="e">
        <f t="shared" si="5"/>
        <v>#REF!</v>
      </c>
      <c r="U14" t="e">
        <f t="shared" si="5"/>
        <v>#REF!</v>
      </c>
      <c r="V14" t="e">
        <f t="shared" si="5"/>
        <v>#REF!</v>
      </c>
      <c r="W14" t="e">
        <f t="shared" si="5"/>
        <v>#REF!</v>
      </c>
      <c r="X14" t="e">
        <f t="shared" si="5"/>
        <v>#REF!</v>
      </c>
      <c r="Y14" t="e">
        <f t="shared" si="5"/>
        <v>#REF!</v>
      </c>
      <c r="Z14" t="e">
        <f t="shared" si="5"/>
        <v>#REF!</v>
      </c>
      <c r="AA14" t="e">
        <f t="shared" si="5"/>
        <v>#REF!</v>
      </c>
      <c r="AB14" t="e">
        <f t="shared" si="5"/>
        <v>#REF!</v>
      </c>
      <c r="AC14" t="e">
        <f t="shared" si="5"/>
        <v>#REF!</v>
      </c>
    </row>
    <row r="15" spans="1:29" ht="15" customHeight="1">
      <c r="A15" t="s">
        <v>335</v>
      </c>
      <c r="B15" t="s">
        <v>18</v>
      </c>
      <c r="D15">
        <f>D14*Coal_CFe*8.76</f>
        <v>86.724000000000004</v>
      </c>
      <c r="E15">
        <f t="shared" ref="E15:AC15" si="6">E14*Coal_CFe*8.76*(1+E7)</f>
        <v>73.715399999999988</v>
      </c>
      <c r="F15" t="e">
        <f t="shared" si="6"/>
        <v>#REF!</v>
      </c>
      <c r="G15" t="e">
        <f t="shared" si="6"/>
        <v>#REF!</v>
      </c>
      <c r="H15" t="e">
        <f t="shared" si="6"/>
        <v>#REF!</v>
      </c>
      <c r="I15" t="e">
        <f t="shared" si="6"/>
        <v>#REF!</v>
      </c>
      <c r="J15" t="e">
        <f t="shared" si="6"/>
        <v>#REF!</v>
      </c>
      <c r="K15" t="e">
        <f t="shared" si="6"/>
        <v>#REF!</v>
      </c>
      <c r="L15" t="e">
        <f t="shared" si="6"/>
        <v>#REF!</v>
      </c>
      <c r="M15" t="e">
        <f t="shared" si="6"/>
        <v>#REF!</v>
      </c>
      <c r="N15" t="e">
        <f t="shared" si="6"/>
        <v>#REF!</v>
      </c>
      <c r="O15" t="e">
        <f t="shared" si="6"/>
        <v>#REF!</v>
      </c>
      <c r="P15" t="e">
        <f t="shared" si="6"/>
        <v>#REF!</v>
      </c>
      <c r="Q15" t="e">
        <f t="shared" si="6"/>
        <v>#REF!</v>
      </c>
      <c r="R15" t="e">
        <f t="shared" si="6"/>
        <v>#REF!</v>
      </c>
      <c r="S15" t="e">
        <f t="shared" si="6"/>
        <v>#REF!</v>
      </c>
      <c r="T15" t="e">
        <f t="shared" si="6"/>
        <v>#REF!</v>
      </c>
      <c r="U15" t="e">
        <f t="shared" si="6"/>
        <v>#REF!</v>
      </c>
      <c r="V15" t="e">
        <f t="shared" si="6"/>
        <v>#REF!</v>
      </c>
      <c r="W15" t="e">
        <f t="shared" si="6"/>
        <v>#REF!</v>
      </c>
      <c r="X15" t="e">
        <f t="shared" si="6"/>
        <v>#REF!</v>
      </c>
      <c r="Y15" t="e">
        <f t="shared" si="6"/>
        <v>#REF!</v>
      </c>
      <c r="Z15" t="e">
        <f t="shared" si="6"/>
        <v>#REF!</v>
      </c>
      <c r="AA15" t="e">
        <f t="shared" si="6"/>
        <v>#REF!</v>
      </c>
      <c r="AB15" t="e">
        <f t="shared" si="6"/>
        <v>#REF!</v>
      </c>
      <c r="AC15" t="e">
        <f t="shared" si="6"/>
        <v>#REF!</v>
      </c>
    </row>
    <row r="16" spans="1:29" ht="15" customHeight="1">
      <c r="A16" t="s">
        <v>336</v>
      </c>
      <c r="B16" t="s">
        <v>26</v>
      </c>
      <c r="D16">
        <f t="shared" ref="D16:AC16" si="7">D14*Coal_CFp</f>
        <v>16.5</v>
      </c>
      <c r="E16">
        <f t="shared" si="7"/>
        <v>14.024999999999999</v>
      </c>
      <c r="F16" t="e">
        <f t="shared" si="7"/>
        <v>#REF!</v>
      </c>
      <c r="G16" t="e">
        <f t="shared" si="7"/>
        <v>#REF!</v>
      </c>
      <c r="H16" t="e">
        <f t="shared" si="7"/>
        <v>#REF!</v>
      </c>
      <c r="I16" t="e">
        <f t="shared" si="7"/>
        <v>#REF!</v>
      </c>
      <c r="J16" t="e">
        <f t="shared" si="7"/>
        <v>#REF!</v>
      </c>
      <c r="K16" t="e">
        <f t="shared" si="7"/>
        <v>#REF!</v>
      </c>
      <c r="L16" t="e">
        <f t="shared" si="7"/>
        <v>#REF!</v>
      </c>
      <c r="M16" t="e">
        <f t="shared" si="7"/>
        <v>#REF!</v>
      </c>
      <c r="N16" t="e">
        <f t="shared" si="7"/>
        <v>#REF!</v>
      </c>
      <c r="O16" t="e">
        <f t="shared" si="7"/>
        <v>#REF!</v>
      </c>
      <c r="P16" t="e">
        <f t="shared" si="7"/>
        <v>#REF!</v>
      </c>
      <c r="Q16" t="e">
        <f t="shared" si="7"/>
        <v>#REF!</v>
      </c>
      <c r="R16" t="e">
        <f t="shared" si="7"/>
        <v>#REF!</v>
      </c>
      <c r="S16" t="e">
        <f t="shared" si="7"/>
        <v>#REF!</v>
      </c>
      <c r="T16" t="e">
        <f t="shared" si="7"/>
        <v>#REF!</v>
      </c>
      <c r="U16" t="e">
        <f t="shared" si="7"/>
        <v>#REF!</v>
      </c>
      <c r="V16" t="e">
        <f t="shared" si="7"/>
        <v>#REF!</v>
      </c>
      <c r="W16" t="e">
        <f t="shared" si="7"/>
        <v>#REF!</v>
      </c>
      <c r="X16" t="e">
        <f t="shared" si="7"/>
        <v>#REF!</v>
      </c>
      <c r="Y16" t="e">
        <f t="shared" si="7"/>
        <v>#REF!</v>
      </c>
      <c r="Z16" t="e">
        <f t="shared" si="7"/>
        <v>#REF!</v>
      </c>
      <c r="AA16" t="e">
        <f t="shared" si="7"/>
        <v>#REF!</v>
      </c>
      <c r="AB16" t="e">
        <f t="shared" si="7"/>
        <v>#REF!</v>
      </c>
      <c r="AC16" t="e">
        <f t="shared" si="7"/>
        <v>#REF!</v>
      </c>
    </row>
    <row r="17" spans="1:29" ht="16.149999999999999" customHeight="1">
      <c r="A17" t="s">
        <v>337</v>
      </c>
    </row>
    <row r="18" spans="1:29" ht="15" customHeight="1">
      <c r="A18" t="s">
        <v>338</v>
      </c>
      <c r="B18" t="s">
        <v>26</v>
      </c>
      <c r="C18" t="s">
        <v>339</v>
      </c>
      <c r="D18">
        <f>Firm_Start</f>
        <v>22</v>
      </c>
      <c r="E18">
        <f t="shared" ref="E18:AC18" si="8">Firm_Start*(1-Firm_Decay)^E2</f>
        <v>22</v>
      </c>
      <c r="F18">
        <f t="shared" si="8"/>
        <v>22</v>
      </c>
      <c r="G18">
        <f t="shared" si="8"/>
        <v>22</v>
      </c>
      <c r="H18">
        <f t="shared" si="8"/>
        <v>22</v>
      </c>
      <c r="I18">
        <f t="shared" si="8"/>
        <v>22</v>
      </c>
      <c r="J18">
        <f t="shared" si="8"/>
        <v>22</v>
      </c>
      <c r="K18">
        <f t="shared" si="8"/>
        <v>22</v>
      </c>
      <c r="L18">
        <f t="shared" si="8"/>
        <v>22</v>
      </c>
      <c r="M18">
        <f t="shared" si="8"/>
        <v>22</v>
      </c>
      <c r="N18">
        <f t="shared" si="8"/>
        <v>22</v>
      </c>
      <c r="O18">
        <f t="shared" si="8"/>
        <v>22</v>
      </c>
      <c r="P18">
        <f t="shared" si="8"/>
        <v>22</v>
      </c>
      <c r="Q18">
        <f t="shared" si="8"/>
        <v>22</v>
      </c>
      <c r="R18">
        <f t="shared" si="8"/>
        <v>22</v>
      </c>
      <c r="S18">
        <f t="shared" si="8"/>
        <v>22</v>
      </c>
      <c r="T18">
        <f t="shared" si="8"/>
        <v>22</v>
      </c>
      <c r="U18">
        <f t="shared" si="8"/>
        <v>22</v>
      </c>
      <c r="V18">
        <f t="shared" si="8"/>
        <v>22</v>
      </c>
      <c r="W18">
        <f t="shared" si="8"/>
        <v>22</v>
      </c>
      <c r="X18">
        <f t="shared" si="8"/>
        <v>22</v>
      </c>
      <c r="Y18">
        <f t="shared" si="8"/>
        <v>22</v>
      </c>
      <c r="Z18">
        <f t="shared" si="8"/>
        <v>22</v>
      </c>
      <c r="AA18">
        <f t="shared" si="8"/>
        <v>22</v>
      </c>
      <c r="AB18">
        <f t="shared" si="8"/>
        <v>22</v>
      </c>
      <c r="AC18">
        <f t="shared" si="8"/>
        <v>22</v>
      </c>
    </row>
    <row r="19" spans="1:29" ht="15" customHeight="1">
      <c r="A19" t="s">
        <v>340</v>
      </c>
      <c r="B19" t="s">
        <v>26</v>
      </c>
      <c r="D19">
        <f t="shared" ref="D19:AC19" si="9">D18*Firm_CFp</f>
        <v>19.8</v>
      </c>
      <c r="E19">
        <f t="shared" si="9"/>
        <v>19.8</v>
      </c>
      <c r="F19">
        <f t="shared" si="9"/>
        <v>19.8</v>
      </c>
      <c r="G19">
        <f t="shared" si="9"/>
        <v>19.8</v>
      </c>
      <c r="H19">
        <f t="shared" si="9"/>
        <v>19.8</v>
      </c>
      <c r="I19">
        <f t="shared" si="9"/>
        <v>19.8</v>
      </c>
      <c r="J19">
        <f t="shared" si="9"/>
        <v>19.8</v>
      </c>
      <c r="K19">
        <f t="shared" si="9"/>
        <v>19.8</v>
      </c>
      <c r="L19">
        <f t="shared" si="9"/>
        <v>19.8</v>
      </c>
      <c r="M19">
        <f t="shared" si="9"/>
        <v>19.8</v>
      </c>
      <c r="N19">
        <f t="shared" si="9"/>
        <v>19.8</v>
      </c>
      <c r="O19">
        <f t="shared" si="9"/>
        <v>19.8</v>
      </c>
      <c r="P19">
        <f t="shared" si="9"/>
        <v>19.8</v>
      </c>
      <c r="Q19">
        <f t="shared" si="9"/>
        <v>19.8</v>
      </c>
      <c r="R19">
        <f t="shared" si="9"/>
        <v>19.8</v>
      </c>
      <c r="S19">
        <f t="shared" si="9"/>
        <v>19.8</v>
      </c>
      <c r="T19">
        <f t="shared" si="9"/>
        <v>19.8</v>
      </c>
      <c r="U19">
        <f t="shared" si="9"/>
        <v>19.8</v>
      </c>
      <c r="V19">
        <f t="shared" si="9"/>
        <v>19.8</v>
      </c>
      <c r="W19">
        <f t="shared" si="9"/>
        <v>19.8</v>
      </c>
      <c r="X19">
        <f t="shared" si="9"/>
        <v>19.8</v>
      </c>
      <c r="Y19">
        <f t="shared" si="9"/>
        <v>19.8</v>
      </c>
      <c r="Z19">
        <f t="shared" si="9"/>
        <v>19.8</v>
      </c>
      <c r="AA19">
        <f t="shared" si="9"/>
        <v>19.8</v>
      </c>
      <c r="AB19">
        <f t="shared" si="9"/>
        <v>19.8</v>
      </c>
      <c r="AC19">
        <f t="shared" si="9"/>
        <v>19.8</v>
      </c>
    </row>
    <row r="20" spans="1:29" ht="15" customHeight="1">
      <c r="A20" t="s">
        <v>341</v>
      </c>
      <c r="B20" t="s">
        <v>18</v>
      </c>
      <c r="D20">
        <f t="shared" ref="D20:AC20" si="10">D18*Firm_CFe*8.76</f>
        <v>42.398399999999995</v>
      </c>
      <c r="E20">
        <f t="shared" si="10"/>
        <v>42.398399999999995</v>
      </c>
      <c r="F20">
        <f t="shared" si="10"/>
        <v>42.398399999999995</v>
      </c>
      <c r="G20">
        <f t="shared" si="10"/>
        <v>42.398399999999995</v>
      </c>
      <c r="H20">
        <f t="shared" si="10"/>
        <v>42.398399999999995</v>
      </c>
      <c r="I20">
        <f t="shared" si="10"/>
        <v>42.398399999999995</v>
      </c>
      <c r="J20">
        <f t="shared" si="10"/>
        <v>42.398399999999995</v>
      </c>
      <c r="K20">
        <f t="shared" si="10"/>
        <v>42.398399999999995</v>
      </c>
      <c r="L20">
        <f t="shared" si="10"/>
        <v>42.398399999999995</v>
      </c>
      <c r="M20">
        <f t="shared" si="10"/>
        <v>42.398399999999995</v>
      </c>
      <c r="N20">
        <f t="shared" si="10"/>
        <v>42.398399999999995</v>
      </c>
      <c r="O20">
        <f t="shared" si="10"/>
        <v>42.398399999999995</v>
      </c>
      <c r="P20">
        <f t="shared" si="10"/>
        <v>42.398399999999995</v>
      </c>
      <c r="Q20">
        <f t="shared" si="10"/>
        <v>42.398399999999995</v>
      </c>
      <c r="R20">
        <f t="shared" si="10"/>
        <v>42.398399999999995</v>
      </c>
      <c r="S20">
        <f t="shared" si="10"/>
        <v>42.398399999999995</v>
      </c>
      <c r="T20">
        <f t="shared" si="10"/>
        <v>42.398399999999995</v>
      </c>
      <c r="U20">
        <f t="shared" si="10"/>
        <v>42.398399999999995</v>
      </c>
      <c r="V20">
        <f t="shared" si="10"/>
        <v>42.398399999999995</v>
      </c>
      <c r="W20">
        <f t="shared" si="10"/>
        <v>42.398399999999995</v>
      </c>
      <c r="X20">
        <f t="shared" si="10"/>
        <v>42.398399999999995</v>
      </c>
      <c r="Y20">
        <f t="shared" si="10"/>
        <v>42.398399999999995</v>
      </c>
      <c r="Z20">
        <f t="shared" si="10"/>
        <v>42.398399999999995</v>
      </c>
      <c r="AA20">
        <f t="shared" si="10"/>
        <v>42.398399999999995</v>
      </c>
      <c r="AB20">
        <f t="shared" si="10"/>
        <v>42.398399999999995</v>
      </c>
      <c r="AC20">
        <f t="shared" si="10"/>
        <v>42.398399999999995</v>
      </c>
    </row>
    <row r="21" spans="1:29" ht="16.149999999999999" customHeight="1">
      <c r="A21" t="s">
        <v>342</v>
      </c>
    </row>
    <row r="22" spans="1:29" ht="15" customHeight="1">
      <c r="A22" t="s">
        <v>343</v>
      </c>
      <c r="B22" t="s">
        <v>44</v>
      </c>
      <c r="D22">
        <f>IFERROR('Building assets'!B79,0)</f>
        <v>0</v>
      </c>
      <c r="E22">
        <f>IFERROR('Building assets'!C79,0)</f>
        <v>0</v>
      </c>
      <c r="F22">
        <f>IFERROR('Building assets'!D79,0)</f>
        <v>0</v>
      </c>
      <c r="G22">
        <f>IFERROR('Building assets'!E79,0)</f>
        <v>0</v>
      </c>
      <c r="H22">
        <f>IFERROR('Building assets'!F79,0)</f>
        <v>0</v>
      </c>
      <c r="I22">
        <f>IFERROR('Building assets'!G79,0)</f>
        <v>0</v>
      </c>
      <c r="J22">
        <f>IFERROR('Building assets'!H79,0)</f>
        <v>0</v>
      </c>
      <c r="K22">
        <f>IFERROR('Building assets'!I79,0)</f>
        <v>0</v>
      </c>
      <c r="L22">
        <f>IFERROR('Building assets'!J79,0)</f>
        <v>0</v>
      </c>
      <c r="M22">
        <f>IFERROR('Building assets'!K79,0)</f>
        <v>0</v>
      </c>
      <c r="N22">
        <f>IFERROR('Building assets'!L79,0)</f>
        <v>0</v>
      </c>
      <c r="O22">
        <f>IFERROR('Building assets'!M79,0)</f>
        <v>0</v>
      </c>
      <c r="P22">
        <f>IFERROR('Building assets'!N79,0)</f>
        <v>0</v>
      </c>
      <c r="Q22">
        <f>IFERROR('Building assets'!O79,0)</f>
        <v>0</v>
      </c>
      <c r="R22">
        <f>IFERROR('Building assets'!P79,0)</f>
        <v>0</v>
      </c>
      <c r="S22">
        <f>IFERROR('Building assets'!Q79,0)</f>
        <v>0</v>
      </c>
      <c r="T22">
        <f>IFERROR('Building assets'!R79,0)</f>
        <v>0</v>
      </c>
      <c r="U22">
        <f>IFERROR('Building assets'!S79,0)</f>
        <v>0</v>
      </c>
      <c r="V22">
        <f>IFERROR('Building assets'!T79,0)</f>
        <v>0</v>
      </c>
      <c r="W22">
        <f>IFERROR('Building assets'!U79,0)</f>
        <v>0</v>
      </c>
      <c r="X22">
        <f>IFERROR('Building assets'!V79,0)</f>
        <v>0</v>
      </c>
      <c r="Y22">
        <f>IFERROR('Building assets'!W79,0)</f>
        <v>0</v>
      </c>
      <c r="Z22">
        <f>IFERROR('Building assets'!X79,0)</f>
        <v>0</v>
      </c>
      <c r="AA22">
        <f>IFERROR('Building assets'!Y79,0)</f>
        <v>0</v>
      </c>
      <c r="AB22">
        <f>IFERROR('Building assets'!Z79,0)</f>
        <v>0</v>
      </c>
      <c r="AC22">
        <f>IFERROR('Building assets'!AA79,0)</f>
        <v>0</v>
      </c>
    </row>
    <row r="23" spans="1:29" ht="15" customHeight="1">
      <c r="A23" t="s">
        <v>344</v>
      </c>
      <c r="B23" t="s">
        <v>26</v>
      </c>
      <c r="C23" t="s">
        <v>345</v>
      </c>
      <c r="D23">
        <f>VRE_Start+VRE_PrePipe+D43+D40</f>
        <v>33</v>
      </c>
      <c r="E23" t="e">
        <f t="shared" ref="E23:AC23" si="11">VRE_Start+VRE_PrePipe*MIN(E2,Lag)+E43+E40</f>
        <v>#REF!</v>
      </c>
      <c r="F23" t="e">
        <f t="shared" si="11"/>
        <v>#REF!</v>
      </c>
      <c r="G23" t="e">
        <f t="shared" si="11"/>
        <v>#REF!</v>
      </c>
      <c r="H23" t="e">
        <f t="shared" si="11"/>
        <v>#REF!</v>
      </c>
      <c r="I23" t="e">
        <f t="shared" si="11"/>
        <v>#REF!</v>
      </c>
      <c r="J23" t="e">
        <f t="shared" si="11"/>
        <v>#REF!</v>
      </c>
      <c r="K23" t="e">
        <f t="shared" si="11"/>
        <v>#REF!</v>
      </c>
      <c r="L23" t="e">
        <f t="shared" si="11"/>
        <v>#REF!</v>
      </c>
      <c r="M23" t="e">
        <f t="shared" si="11"/>
        <v>#REF!</v>
      </c>
      <c r="N23" t="e">
        <f t="shared" si="11"/>
        <v>#REF!</v>
      </c>
      <c r="O23" t="e">
        <f t="shared" si="11"/>
        <v>#REF!</v>
      </c>
      <c r="P23" t="e">
        <f t="shared" si="11"/>
        <v>#REF!</v>
      </c>
      <c r="Q23" t="e">
        <f t="shared" si="11"/>
        <v>#REF!</v>
      </c>
      <c r="R23" t="e">
        <f t="shared" si="11"/>
        <v>#REF!</v>
      </c>
      <c r="S23" t="e">
        <f t="shared" si="11"/>
        <v>#REF!</v>
      </c>
      <c r="T23" t="e">
        <f t="shared" si="11"/>
        <v>#REF!</v>
      </c>
      <c r="U23" t="e">
        <f t="shared" si="11"/>
        <v>#REF!</v>
      </c>
      <c r="V23" t="e">
        <f t="shared" si="11"/>
        <v>#REF!</v>
      </c>
      <c r="W23" t="e">
        <f t="shared" si="11"/>
        <v>#REF!</v>
      </c>
      <c r="X23" t="e">
        <f t="shared" si="11"/>
        <v>#REF!</v>
      </c>
      <c r="Y23" t="e">
        <f t="shared" si="11"/>
        <v>#REF!</v>
      </c>
      <c r="Z23" t="e">
        <f t="shared" si="11"/>
        <v>#REF!</v>
      </c>
      <c r="AA23" t="e">
        <f t="shared" si="11"/>
        <v>#REF!</v>
      </c>
      <c r="AB23" t="e">
        <f t="shared" si="11"/>
        <v>#REF!</v>
      </c>
      <c r="AC23" t="e">
        <f t="shared" si="11"/>
        <v>#REF!</v>
      </c>
    </row>
    <row r="24" spans="1:29" ht="15" customHeight="1">
      <c r="A24" t="s">
        <v>346</v>
      </c>
      <c r="B24" t="s">
        <v>18</v>
      </c>
      <c r="C24" t="s">
        <v>347</v>
      </c>
      <c r="D24">
        <f>D23*VRE_CFe*8.76*(1-D28)</f>
        <v>75.999131999999989</v>
      </c>
      <c r="E24" t="e">
        <f t="shared" ref="E24:AC24" si="12">E23*VRE_CFe*8.76*(1-E28)*(1+E7)</f>
        <v>#REF!</v>
      </c>
      <c r="F24" t="e">
        <f t="shared" si="12"/>
        <v>#REF!</v>
      </c>
      <c r="G24" t="e">
        <f t="shared" si="12"/>
        <v>#REF!</v>
      </c>
      <c r="H24" t="e">
        <f t="shared" si="12"/>
        <v>#REF!</v>
      </c>
      <c r="I24" t="e">
        <f t="shared" si="12"/>
        <v>#REF!</v>
      </c>
      <c r="J24" t="e">
        <f t="shared" si="12"/>
        <v>#REF!</v>
      </c>
      <c r="K24" t="e">
        <f t="shared" si="12"/>
        <v>#REF!</v>
      </c>
      <c r="L24" t="e">
        <f t="shared" si="12"/>
        <v>#REF!</v>
      </c>
      <c r="M24" t="e">
        <f t="shared" si="12"/>
        <v>#REF!</v>
      </c>
      <c r="N24" t="e">
        <f t="shared" si="12"/>
        <v>#REF!</v>
      </c>
      <c r="O24" t="e">
        <f t="shared" si="12"/>
        <v>#REF!</v>
      </c>
      <c r="P24" t="e">
        <f t="shared" si="12"/>
        <v>#REF!</v>
      </c>
      <c r="Q24" t="e">
        <f t="shared" si="12"/>
        <v>#REF!</v>
      </c>
      <c r="R24" t="e">
        <f t="shared" si="12"/>
        <v>#REF!</v>
      </c>
      <c r="S24" t="e">
        <f t="shared" si="12"/>
        <v>#REF!</v>
      </c>
      <c r="T24" t="e">
        <f t="shared" si="12"/>
        <v>#REF!</v>
      </c>
      <c r="U24" t="e">
        <f t="shared" si="12"/>
        <v>#REF!</v>
      </c>
      <c r="V24" t="e">
        <f t="shared" si="12"/>
        <v>#REF!</v>
      </c>
      <c r="W24" t="e">
        <f t="shared" si="12"/>
        <v>#REF!</v>
      </c>
      <c r="X24" t="e">
        <f t="shared" si="12"/>
        <v>#REF!</v>
      </c>
      <c r="Y24" t="e">
        <f t="shared" si="12"/>
        <v>#REF!</v>
      </c>
      <c r="Z24" t="e">
        <f t="shared" si="12"/>
        <v>#REF!</v>
      </c>
      <c r="AA24" t="e">
        <f t="shared" si="12"/>
        <v>#REF!</v>
      </c>
      <c r="AB24" t="e">
        <f t="shared" si="12"/>
        <v>#REF!</v>
      </c>
      <c r="AC24" t="e">
        <f t="shared" si="12"/>
        <v>#REF!</v>
      </c>
    </row>
    <row r="25" spans="1:29" ht="16.149999999999999" customHeight="1">
      <c r="A25" t="s">
        <v>348</v>
      </c>
    </row>
    <row r="26" spans="1:29" ht="15" customHeight="1">
      <c r="A26" t="s">
        <v>349</v>
      </c>
      <c r="B26" t="s">
        <v>18</v>
      </c>
      <c r="C26" t="s">
        <v>350</v>
      </c>
      <c r="D26" t="e">
        <f t="shared" ref="D26:AC26" si="13">D15+D24+Other_Gen-D9</f>
        <v>#REF!</v>
      </c>
      <c r="E26" t="e">
        <f t="shared" si="13"/>
        <v>#REF!</v>
      </c>
      <c r="F26" t="e">
        <f t="shared" si="13"/>
        <v>#REF!</v>
      </c>
      <c r="G26" t="e">
        <f t="shared" si="13"/>
        <v>#REF!</v>
      </c>
      <c r="H26" t="e">
        <f t="shared" si="13"/>
        <v>#REF!</v>
      </c>
      <c r="I26" t="e">
        <f t="shared" si="13"/>
        <v>#REF!</v>
      </c>
      <c r="J26" t="e">
        <f t="shared" si="13"/>
        <v>#REF!</v>
      </c>
      <c r="K26" t="e">
        <f t="shared" si="13"/>
        <v>#REF!</v>
      </c>
      <c r="L26" t="e">
        <f t="shared" si="13"/>
        <v>#REF!</v>
      </c>
      <c r="M26" t="e">
        <f t="shared" si="13"/>
        <v>#REF!</v>
      </c>
      <c r="N26" t="e">
        <f t="shared" si="13"/>
        <v>#REF!</v>
      </c>
      <c r="O26" t="e">
        <f t="shared" si="13"/>
        <v>#REF!</v>
      </c>
      <c r="P26" t="e">
        <f t="shared" si="13"/>
        <v>#REF!</v>
      </c>
      <c r="Q26" t="e">
        <f t="shared" si="13"/>
        <v>#REF!</v>
      </c>
      <c r="R26" t="e">
        <f t="shared" si="13"/>
        <v>#REF!</v>
      </c>
      <c r="S26" t="e">
        <f t="shared" si="13"/>
        <v>#REF!</v>
      </c>
      <c r="T26" t="e">
        <f t="shared" si="13"/>
        <v>#REF!</v>
      </c>
      <c r="U26" t="e">
        <f t="shared" si="13"/>
        <v>#REF!</v>
      </c>
      <c r="V26" t="e">
        <f t="shared" si="13"/>
        <v>#REF!</v>
      </c>
      <c r="W26" t="e">
        <f t="shared" si="13"/>
        <v>#REF!</v>
      </c>
      <c r="X26" t="e">
        <f t="shared" si="13"/>
        <v>#REF!</v>
      </c>
      <c r="Y26" t="e">
        <f t="shared" si="13"/>
        <v>#REF!</v>
      </c>
      <c r="Z26" t="e">
        <f t="shared" si="13"/>
        <v>#REF!</v>
      </c>
      <c r="AA26" t="e">
        <f t="shared" si="13"/>
        <v>#REF!</v>
      </c>
      <c r="AB26" t="e">
        <f t="shared" si="13"/>
        <v>#REF!</v>
      </c>
      <c r="AC26" t="e">
        <f t="shared" si="13"/>
        <v>#REF!</v>
      </c>
    </row>
    <row r="27" spans="1:29" ht="15" customHeight="1">
      <c r="A27" t="s">
        <v>351</v>
      </c>
      <c r="B27" t="s">
        <v>44</v>
      </c>
      <c r="C27" t="s">
        <v>352</v>
      </c>
      <c r="D27">
        <f>D22</f>
        <v>0</v>
      </c>
      <c r="E27" t="e">
        <f t="shared" ref="E27:AC27" si="14">E22*EXP(IF(D26&gt;=0,-Surp_Elas,Def_Elas)*ABS(D26/D9))</f>
        <v>#REF!</v>
      </c>
      <c r="F27" t="e">
        <f t="shared" si="14"/>
        <v>#REF!</v>
      </c>
      <c r="G27" t="e">
        <f t="shared" si="14"/>
        <v>#REF!</v>
      </c>
      <c r="H27" t="e">
        <f t="shared" si="14"/>
        <v>#REF!</v>
      </c>
      <c r="I27" t="e">
        <f t="shared" si="14"/>
        <v>#REF!</v>
      </c>
      <c r="J27" t="e">
        <f t="shared" si="14"/>
        <v>#REF!</v>
      </c>
      <c r="K27" t="e">
        <f t="shared" si="14"/>
        <v>#REF!</v>
      </c>
      <c r="L27" t="e">
        <f t="shared" si="14"/>
        <v>#REF!</v>
      </c>
      <c r="M27" t="e">
        <f t="shared" si="14"/>
        <v>#REF!</v>
      </c>
      <c r="N27" t="e">
        <f t="shared" si="14"/>
        <v>#REF!</v>
      </c>
      <c r="O27" t="e">
        <f t="shared" si="14"/>
        <v>#REF!</v>
      </c>
      <c r="P27" t="e">
        <f t="shared" si="14"/>
        <v>#REF!</v>
      </c>
      <c r="Q27" t="e">
        <f t="shared" si="14"/>
        <v>#REF!</v>
      </c>
      <c r="R27" t="e">
        <f t="shared" si="14"/>
        <v>#REF!</v>
      </c>
      <c r="S27" t="e">
        <f t="shared" si="14"/>
        <v>#REF!</v>
      </c>
      <c r="T27" t="e">
        <f t="shared" si="14"/>
        <v>#REF!</v>
      </c>
      <c r="U27" t="e">
        <f t="shared" si="14"/>
        <v>#REF!</v>
      </c>
      <c r="V27" t="e">
        <f t="shared" si="14"/>
        <v>#REF!</v>
      </c>
      <c r="W27" t="e">
        <f t="shared" si="14"/>
        <v>#REF!</v>
      </c>
      <c r="X27" t="e">
        <f t="shared" si="14"/>
        <v>#REF!</v>
      </c>
      <c r="Y27" t="e">
        <f t="shared" si="14"/>
        <v>#REF!</v>
      </c>
      <c r="Z27" t="e">
        <f t="shared" si="14"/>
        <v>#REF!</v>
      </c>
      <c r="AA27" t="e">
        <f t="shared" si="14"/>
        <v>#REF!</v>
      </c>
      <c r="AB27" t="e">
        <f t="shared" si="14"/>
        <v>#REF!</v>
      </c>
      <c r="AC27" t="e">
        <f t="shared" si="14"/>
        <v>#REF!</v>
      </c>
    </row>
    <row r="28" spans="1:29" ht="15" hidden="1" customHeight="1">
      <c r="A28" t="s">
        <v>353</v>
      </c>
      <c r="B28" t="s">
        <v>39</v>
      </c>
      <c r="C28" t="s">
        <v>354</v>
      </c>
      <c r="D28">
        <f>0</f>
        <v>0</v>
      </c>
      <c r="E28">
        <f t="shared" ref="E28:AC28" si="15">MAX(0,(D36-Curtail_Thresh)*Curtail_Rate)</f>
        <v>5.7575100000000099E-3</v>
      </c>
      <c r="F28" t="e">
        <f t="shared" si="15"/>
        <v>#REF!</v>
      </c>
      <c r="G28" t="e">
        <f t="shared" si="15"/>
        <v>#REF!</v>
      </c>
      <c r="H28" t="e">
        <f t="shared" si="15"/>
        <v>#REF!</v>
      </c>
      <c r="I28" t="e">
        <f t="shared" si="15"/>
        <v>#REF!</v>
      </c>
      <c r="J28" t="e">
        <f t="shared" si="15"/>
        <v>#REF!</v>
      </c>
      <c r="K28" t="e">
        <f t="shared" si="15"/>
        <v>#REF!</v>
      </c>
      <c r="L28" t="e">
        <f t="shared" si="15"/>
        <v>#REF!</v>
      </c>
      <c r="M28" t="e">
        <f t="shared" si="15"/>
        <v>#REF!</v>
      </c>
      <c r="N28" t="e">
        <f t="shared" si="15"/>
        <v>#REF!</v>
      </c>
      <c r="O28" t="e">
        <f t="shared" si="15"/>
        <v>#REF!</v>
      </c>
      <c r="P28" t="e">
        <f t="shared" si="15"/>
        <v>#REF!</v>
      </c>
      <c r="Q28" t="e">
        <f t="shared" si="15"/>
        <v>#REF!</v>
      </c>
      <c r="R28" t="e">
        <f t="shared" si="15"/>
        <v>#REF!</v>
      </c>
      <c r="S28" t="e">
        <f t="shared" si="15"/>
        <v>#REF!</v>
      </c>
      <c r="T28" t="e">
        <f t="shared" si="15"/>
        <v>#REF!</v>
      </c>
      <c r="U28" t="e">
        <f t="shared" si="15"/>
        <v>#REF!</v>
      </c>
      <c r="V28" t="e">
        <f t="shared" si="15"/>
        <v>#REF!</v>
      </c>
      <c r="W28" t="e">
        <f t="shared" si="15"/>
        <v>#REF!</v>
      </c>
      <c r="X28" t="e">
        <f t="shared" si="15"/>
        <v>#REF!</v>
      </c>
      <c r="Y28" t="e">
        <f t="shared" si="15"/>
        <v>#REF!</v>
      </c>
      <c r="Z28" t="e">
        <f t="shared" si="15"/>
        <v>#REF!</v>
      </c>
      <c r="AA28" t="e">
        <f t="shared" si="15"/>
        <v>#REF!</v>
      </c>
      <c r="AB28" t="e">
        <f t="shared" si="15"/>
        <v>#REF!</v>
      </c>
      <c r="AC28" t="e">
        <f t="shared" si="15"/>
        <v>#REF!</v>
      </c>
    </row>
    <row r="29" spans="1:29" ht="15" customHeight="1">
      <c r="A29" t="s">
        <v>355</v>
      </c>
      <c r="B29" t="s">
        <v>44</v>
      </c>
      <c r="C29" t="s">
        <v>356</v>
      </c>
      <c r="D29" t="e">
        <f t="shared" ref="D29:AC29" si="16">Fwd_Alpha*D22+(1-Fwd_Alpha)*D27</f>
        <v>#REF!</v>
      </c>
      <c r="E29" t="e">
        <f t="shared" si="16"/>
        <v>#REF!</v>
      </c>
      <c r="F29" t="e">
        <f t="shared" si="16"/>
        <v>#REF!</v>
      </c>
      <c r="G29" t="e">
        <f t="shared" si="16"/>
        <v>#REF!</v>
      </c>
      <c r="H29" t="e">
        <f t="shared" si="16"/>
        <v>#REF!</v>
      </c>
      <c r="I29" t="e">
        <f t="shared" si="16"/>
        <v>#REF!</v>
      </c>
      <c r="J29" t="e">
        <f t="shared" si="16"/>
        <v>#REF!</v>
      </c>
      <c r="K29" t="e">
        <f t="shared" si="16"/>
        <v>#REF!</v>
      </c>
      <c r="L29" t="e">
        <f t="shared" si="16"/>
        <v>#REF!</v>
      </c>
      <c r="M29" t="e">
        <f t="shared" si="16"/>
        <v>#REF!</v>
      </c>
      <c r="N29" t="e">
        <f t="shared" si="16"/>
        <v>#REF!</v>
      </c>
      <c r="O29" t="e">
        <f t="shared" si="16"/>
        <v>#REF!</v>
      </c>
      <c r="P29" t="e">
        <f t="shared" si="16"/>
        <v>#REF!</v>
      </c>
      <c r="Q29" t="e">
        <f t="shared" si="16"/>
        <v>#REF!</v>
      </c>
      <c r="R29" t="e">
        <f t="shared" si="16"/>
        <v>#REF!</v>
      </c>
      <c r="S29" t="e">
        <f t="shared" si="16"/>
        <v>#REF!</v>
      </c>
      <c r="T29" t="e">
        <f t="shared" si="16"/>
        <v>#REF!</v>
      </c>
      <c r="U29" t="e">
        <f t="shared" si="16"/>
        <v>#REF!</v>
      </c>
      <c r="V29" t="e">
        <f t="shared" si="16"/>
        <v>#REF!</v>
      </c>
      <c r="W29" t="e">
        <f t="shared" si="16"/>
        <v>#REF!</v>
      </c>
      <c r="X29" t="e">
        <f t="shared" si="16"/>
        <v>#REF!</v>
      </c>
      <c r="Y29" t="e">
        <f t="shared" si="16"/>
        <v>#REF!</v>
      </c>
      <c r="Z29" t="e">
        <f t="shared" si="16"/>
        <v>#REF!</v>
      </c>
      <c r="AA29" t="e">
        <f t="shared" si="16"/>
        <v>#REF!</v>
      </c>
      <c r="AB29" t="e">
        <f t="shared" si="16"/>
        <v>#REF!</v>
      </c>
      <c r="AC29" t="e">
        <f t="shared" si="16"/>
        <v>#REF!</v>
      </c>
    </row>
    <row r="30" spans="1:29" ht="15" customHeight="1">
      <c r="A30" t="s">
        <v>357</v>
      </c>
      <c r="B30" t="s">
        <v>26</v>
      </c>
      <c r="C30" t="s">
        <v>358</v>
      </c>
      <c r="D30">
        <f>D16+D19+D44*Firm_CFp+D23*VRE_ELCC+Other_Firm-D11</f>
        <v>3.3500216999999992</v>
      </c>
      <c r="E30" t="e">
        <f t="shared" ref="E30:AC30" si="17">E16+E19+D44*Firm_CFp+D51*Firm_CFp+E23*VRE_ELCC+Other_Firm-E11</f>
        <v>#REF!</v>
      </c>
      <c r="F30" t="e">
        <f t="shared" si="17"/>
        <v>#REF!</v>
      </c>
      <c r="G30" t="e">
        <f t="shared" si="17"/>
        <v>#REF!</v>
      </c>
      <c r="H30" t="e">
        <f t="shared" si="17"/>
        <v>#REF!</v>
      </c>
      <c r="I30" t="e">
        <f t="shared" si="17"/>
        <v>#REF!</v>
      </c>
      <c r="J30" t="e">
        <f t="shared" si="17"/>
        <v>#REF!</v>
      </c>
      <c r="K30" t="e">
        <f t="shared" si="17"/>
        <v>#REF!</v>
      </c>
      <c r="L30" t="e">
        <f t="shared" si="17"/>
        <v>#REF!</v>
      </c>
      <c r="M30" t="e">
        <f t="shared" si="17"/>
        <v>#REF!</v>
      </c>
      <c r="N30" t="e">
        <f t="shared" si="17"/>
        <v>#REF!</v>
      </c>
      <c r="O30" t="e">
        <f t="shared" si="17"/>
        <v>#REF!</v>
      </c>
      <c r="P30" t="e">
        <f t="shared" si="17"/>
        <v>#REF!</v>
      </c>
      <c r="Q30" t="e">
        <f t="shared" si="17"/>
        <v>#REF!</v>
      </c>
      <c r="R30" t="e">
        <f t="shared" si="17"/>
        <v>#REF!</v>
      </c>
      <c r="S30" t="e">
        <f t="shared" si="17"/>
        <v>#REF!</v>
      </c>
      <c r="T30" t="e">
        <f t="shared" si="17"/>
        <v>#REF!</v>
      </c>
      <c r="U30" t="e">
        <f t="shared" si="17"/>
        <v>#REF!</v>
      </c>
      <c r="V30" t="e">
        <f t="shared" si="17"/>
        <v>#REF!</v>
      </c>
      <c r="W30" t="e">
        <f t="shared" si="17"/>
        <v>#REF!</v>
      </c>
      <c r="X30" t="e">
        <f t="shared" si="17"/>
        <v>#REF!</v>
      </c>
      <c r="Y30" t="e">
        <f t="shared" si="17"/>
        <v>#REF!</v>
      </c>
      <c r="Z30" t="e">
        <f t="shared" si="17"/>
        <v>#REF!</v>
      </c>
      <c r="AA30" t="e">
        <f t="shared" si="17"/>
        <v>#REF!</v>
      </c>
      <c r="AB30" t="e">
        <f t="shared" si="17"/>
        <v>#REF!</v>
      </c>
      <c r="AC30" t="e">
        <f t="shared" si="17"/>
        <v>#REF!</v>
      </c>
    </row>
    <row r="31" spans="1:29" ht="15" customHeight="1">
      <c r="A31" t="s">
        <v>359</v>
      </c>
      <c r="B31" t="s">
        <v>39</v>
      </c>
      <c r="C31" t="s">
        <v>360</v>
      </c>
      <c r="D31">
        <f t="shared" ref="D31:AC31" si="18">MAX(0,-D30/D11)</f>
        <v>0</v>
      </c>
      <c r="E31" t="e">
        <f t="shared" si="18"/>
        <v>#REF!</v>
      </c>
      <c r="F31" t="e">
        <f t="shared" si="18"/>
        <v>#REF!</v>
      </c>
      <c r="G31" t="e">
        <f t="shared" si="18"/>
        <v>#REF!</v>
      </c>
      <c r="H31" t="e">
        <f t="shared" si="18"/>
        <v>#REF!</v>
      </c>
      <c r="I31" t="e">
        <f t="shared" si="18"/>
        <v>#REF!</v>
      </c>
      <c r="J31" t="e">
        <f t="shared" si="18"/>
        <v>#REF!</v>
      </c>
      <c r="K31" t="e">
        <f t="shared" si="18"/>
        <v>#REF!</v>
      </c>
      <c r="L31" t="e">
        <f t="shared" si="18"/>
        <v>#REF!</v>
      </c>
      <c r="M31" t="e">
        <f t="shared" si="18"/>
        <v>#REF!</v>
      </c>
      <c r="N31" t="e">
        <f t="shared" si="18"/>
        <v>#REF!</v>
      </c>
      <c r="O31" t="e">
        <f t="shared" si="18"/>
        <v>#REF!</v>
      </c>
      <c r="P31" t="e">
        <f t="shared" si="18"/>
        <v>#REF!</v>
      </c>
      <c r="Q31" t="e">
        <f t="shared" si="18"/>
        <v>#REF!</v>
      </c>
      <c r="R31" t="e">
        <f t="shared" si="18"/>
        <v>#REF!</v>
      </c>
      <c r="S31" t="e">
        <f t="shared" si="18"/>
        <v>#REF!</v>
      </c>
      <c r="T31" t="e">
        <f t="shared" si="18"/>
        <v>#REF!</v>
      </c>
      <c r="U31" t="e">
        <f t="shared" si="18"/>
        <v>#REF!</v>
      </c>
      <c r="V31" t="e">
        <f t="shared" si="18"/>
        <v>#REF!</v>
      </c>
      <c r="W31" t="e">
        <f t="shared" si="18"/>
        <v>#REF!</v>
      </c>
      <c r="X31" t="e">
        <f t="shared" si="18"/>
        <v>#REF!</v>
      </c>
      <c r="Y31" t="e">
        <f t="shared" si="18"/>
        <v>#REF!</v>
      </c>
      <c r="Z31" t="e">
        <f t="shared" si="18"/>
        <v>#REF!</v>
      </c>
      <c r="AA31" t="e">
        <f t="shared" si="18"/>
        <v>#REF!</v>
      </c>
      <c r="AB31" t="e">
        <f t="shared" si="18"/>
        <v>#REF!</v>
      </c>
      <c r="AC31" t="e">
        <f t="shared" si="18"/>
        <v>#REF!</v>
      </c>
    </row>
    <row r="32" spans="1:29" ht="15" customHeight="1">
      <c r="A32" t="s">
        <v>361</v>
      </c>
      <c r="B32" t="s">
        <v>44</v>
      </c>
      <c r="C32" t="s">
        <v>362</v>
      </c>
      <c r="D32">
        <f t="shared" ref="D32:AC32" si="19">Firm_SRMC*EXP(Firm_Tight*D31)</f>
        <v>180</v>
      </c>
      <c r="E32" t="e">
        <f t="shared" si="19"/>
        <v>#REF!</v>
      </c>
      <c r="F32" t="e">
        <f t="shared" si="19"/>
        <v>#REF!</v>
      </c>
      <c r="G32" t="e">
        <f t="shared" si="19"/>
        <v>#REF!</v>
      </c>
      <c r="H32" t="e">
        <f t="shared" si="19"/>
        <v>#REF!</v>
      </c>
      <c r="I32" t="e">
        <f t="shared" si="19"/>
        <v>#REF!</v>
      </c>
      <c r="J32" t="e">
        <f t="shared" si="19"/>
        <v>#REF!</v>
      </c>
      <c r="K32" t="e">
        <f t="shared" si="19"/>
        <v>#REF!</v>
      </c>
      <c r="L32" t="e">
        <f t="shared" si="19"/>
        <v>#REF!</v>
      </c>
      <c r="M32" t="e">
        <f t="shared" si="19"/>
        <v>#REF!</v>
      </c>
      <c r="N32" t="e">
        <f t="shared" si="19"/>
        <v>#REF!</v>
      </c>
      <c r="O32" t="e">
        <f t="shared" si="19"/>
        <v>#REF!</v>
      </c>
      <c r="P32" t="e">
        <f t="shared" si="19"/>
        <v>#REF!</v>
      </c>
      <c r="Q32" t="e">
        <f t="shared" si="19"/>
        <v>#REF!</v>
      </c>
      <c r="R32" t="e">
        <f t="shared" si="19"/>
        <v>#REF!</v>
      </c>
      <c r="S32" t="e">
        <f t="shared" si="19"/>
        <v>#REF!</v>
      </c>
      <c r="T32" t="e">
        <f t="shared" si="19"/>
        <v>#REF!</v>
      </c>
      <c r="U32" t="e">
        <f t="shared" si="19"/>
        <v>#REF!</v>
      </c>
      <c r="V32" t="e">
        <f t="shared" si="19"/>
        <v>#REF!</v>
      </c>
      <c r="W32" t="e">
        <f t="shared" si="19"/>
        <v>#REF!</v>
      </c>
      <c r="X32" t="e">
        <f t="shared" si="19"/>
        <v>#REF!</v>
      </c>
      <c r="Y32" t="e">
        <f t="shared" si="19"/>
        <v>#REF!</v>
      </c>
      <c r="Z32" t="e">
        <f t="shared" si="19"/>
        <v>#REF!</v>
      </c>
      <c r="AA32" t="e">
        <f t="shared" si="19"/>
        <v>#REF!</v>
      </c>
      <c r="AB32" t="e">
        <f t="shared" si="19"/>
        <v>#REF!</v>
      </c>
      <c r="AC32" t="e">
        <f t="shared" si="19"/>
        <v>#REF!</v>
      </c>
    </row>
    <row r="33" spans="1:29" ht="16.149999999999999" customHeight="1">
      <c r="A33" t="s">
        <v>363</v>
      </c>
    </row>
    <row r="34" spans="1:29" ht="15" customHeight="1">
      <c r="A34" t="s">
        <v>364</v>
      </c>
      <c r="B34" t="s">
        <v>39</v>
      </c>
      <c r="C34" t="s">
        <v>365</v>
      </c>
      <c r="D34">
        <f t="shared" ref="D34:AC34" si="20">VRE_Share0+(VRE_ShareT-VRE_Share0)/25*D2</f>
        <v>0.3838339999999999</v>
      </c>
      <c r="E34">
        <f t="shared" si="20"/>
        <v>0.40848063999999989</v>
      </c>
      <c r="F34">
        <f t="shared" si="20"/>
        <v>0.43312727999999989</v>
      </c>
      <c r="G34">
        <f t="shared" si="20"/>
        <v>0.45777391999999995</v>
      </c>
      <c r="H34">
        <f t="shared" si="20"/>
        <v>0.48242055999999989</v>
      </c>
      <c r="I34">
        <f t="shared" si="20"/>
        <v>0.50706719999999994</v>
      </c>
      <c r="J34">
        <f t="shared" si="20"/>
        <v>0.53171383999999988</v>
      </c>
      <c r="K34">
        <f t="shared" si="20"/>
        <v>0.55636047999999994</v>
      </c>
      <c r="L34">
        <f t="shared" si="20"/>
        <v>0.58100711999999999</v>
      </c>
      <c r="M34">
        <f t="shared" si="20"/>
        <v>0.60565375999999993</v>
      </c>
      <c r="N34">
        <f t="shared" si="20"/>
        <v>0.63030039999999987</v>
      </c>
      <c r="O34">
        <f t="shared" si="20"/>
        <v>0.65494703999999992</v>
      </c>
      <c r="P34">
        <f t="shared" si="20"/>
        <v>0.67959367999999998</v>
      </c>
      <c r="Q34">
        <f t="shared" si="20"/>
        <v>0.70424032000000003</v>
      </c>
      <c r="R34">
        <f t="shared" si="20"/>
        <v>0.72888695999999997</v>
      </c>
      <c r="S34">
        <f t="shared" si="20"/>
        <v>0.75353359999999991</v>
      </c>
      <c r="T34">
        <f t="shared" si="20"/>
        <v>0.77818023999999997</v>
      </c>
      <c r="U34">
        <f t="shared" si="20"/>
        <v>0.80282688000000002</v>
      </c>
      <c r="V34">
        <f t="shared" si="20"/>
        <v>0.82747351999999996</v>
      </c>
      <c r="W34">
        <f t="shared" si="20"/>
        <v>0.8521201599999999</v>
      </c>
      <c r="X34">
        <f t="shared" si="20"/>
        <v>0.87676679999999996</v>
      </c>
      <c r="Y34">
        <f t="shared" si="20"/>
        <v>0.90141344000000001</v>
      </c>
      <c r="Z34">
        <f t="shared" si="20"/>
        <v>0.92606007999999995</v>
      </c>
      <c r="AA34">
        <f t="shared" si="20"/>
        <v>0.95070672000000001</v>
      </c>
      <c r="AB34">
        <f t="shared" si="20"/>
        <v>0.97535336000000006</v>
      </c>
      <c r="AC34">
        <f t="shared" si="20"/>
        <v>1</v>
      </c>
    </row>
    <row r="35" spans="1:29" ht="15" customHeight="1">
      <c r="A35" t="s">
        <v>366</v>
      </c>
      <c r="B35" t="s">
        <v>26</v>
      </c>
      <c r="C35" t="s">
        <v>367</v>
      </c>
      <c r="D35">
        <f t="shared" ref="D35:AC35" si="21">D34*D9/(VRE_CFe*8.76)</f>
        <v>30</v>
      </c>
      <c r="E35">
        <f t="shared" si="21"/>
        <v>32.724510283091121</v>
      </c>
      <c r="F35">
        <f t="shared" si="21"/>
        <v>35.566496080336812</v>
      </c>
      <c r="G35">
        <f t="shared" si="21"/>
        <v>38.530128348517849</v>
      </c>
      <c r="H35">
        <f t="shared" si="21"/>
        <v>41.619713170057715</v>
      </c>
      <c r="I35">
        <f t="shared" si="21"/>
        <v>44.839695902456768</v>
      </c>
      <c r="J35">
        <f t="shared" si="21"/>
        <v>48.194665450744473</v>
      </c>
      <c r="K35">
        <f t="shared" si="21"/>
        <v>51.689358666507538</v>
      </c>
      <c r="L35">
        <f t="shared" si="21"/>
        <v>55.328664877152036</v>
      </c>
      <c r="M35">
        <f t="shared" si="21"/>
        <v>59.117630549162186</v>
      </c>
      <c r="N35">
        <f t="shared" si="21"/>
        <v>63.061464089224621</v>
      </c>
      <c r="O35">
        <f t="shared" si="21"/>
        <v>67.165540787196974</v>
      </c>
      <c r="P35">
        <f t="shared" si="21"/>
        <v>71.43540790501217</v>
      </c>
      <c r="Q35">
        <f t="shared" si="21"/>
        <v>75.876789915726135</v>
      </c>
      <c r="R35">
        <f t="shared" si="21"/>
        <v>80.495593897035135</v>
      </c>
      <c r="S35">
        <f t="shared" si="21"/>
        <v>85.297915083712283</v>
      </c>
      <c r="T35">
        <f t="shared" si="21"/>
        <v>90.290042583537627</v>
      </c>
      <c r="U35">
        <f t="shared" si="21"/>
        <v>95.478465261426933</v>
      </c>
      <c r="V35">
        <f t="shared" si="21"/>
        <v>100.86987779659597</v>
      </c>
      <c r="W35">
        <f t="shared" si="21"/>
        <v>106.47118691773508</v>
      </c>
      <c r="X35">
        <f t="shared" si="21"/>
        <v>112.28951782130828</v>
      </c>
      <c r="Y35">
        <f t="shared" si="21"/>
        <v>118.33222077823655</v>
      </c>
      <c r="Z35">
        <f t="shared" si="21"/>
        <v>124.6068779343729</v>
      </c>
      <c r="AA35">
        <f t="shared" si="21"/>
        <v>131.1213103103297</v>
      </c>
      <c r="AB35">
        <f t="shared" si="21"/>
        <v>137.88358500637537</v>
      </c>
      <c r="AC35">
        <f t="shared" si="21"/>
        <v>144.90202261827926</v>
      </c>
    </row>
    <row r="36" spans="1:29" ht="15" customHeight="1">
      <c r="A36" t="s">
        <v>368</v>
      </c>
      <c r="B36" t="s">
        <v>39</v>
      </c>
      <c r="C36" t="s">
        <v>369</v>
      </c>
      <c r="D36">
        <f t="shared" ref="D36:AC36" si="22">IF(D9&gt;0,D24/D9,0)</f>
        <v>0.42221739999999996</v>
      </c>
      <c r="E36" t="e">
        <f t="shared" si="22"/>
        <v>#REF!</v>
      </c>
      <c r="F36" t="e">
        <f t="shared" si="22"/>
        <v>#REF!</v>
      </c>
      <c r="G36" t="e">
        <f t="shared" si="22"/>
        <v>#REF!</v>
      </c>
      <c r="H36" t="e">
        <f t="shared" si="22"/>
        <v>#REF!</v>
      </c>
      <c r="I36" t="e">
        <f t="shared" si="22"/>
        <v>#REF!</v>
      </c>
      <c r="J36" t="e">
        <f t="shared" si="22"/>
        <v>#REF!</v>
      </c>
      <c r="K36" t="e">
        <f t="shared" si="22"/>
        <v>#REF!</v>
      </c>
      <c r="L36" t="e">
        <f t="shared" si="22"/>
        <v>#REF!</v>
      </c>
      <c r="M36" t="e">
        <f t="shared" si="22"/>
        <v>#REF!</v>
      </c>
      <c r="N36" t="e">
        <f t="shared" si="22"/>
        <v>#REF!</v>
      </c>
      <c r="O36" t="e">
        <f t="shared" si="22"/>
        <v>#REF!</v>
      </c>
      <c r="P36" t="e">
        <f t="shared" si="22"/>
        <v>#REF!</v>
      </c>
      <c r="Q36" t="e">
        <f t="shared" si="22"/>
        <v>#REF!</v>
      </c>
      <c r="R36" t="e">
        <f t="shared" si="22"/>
        <v>#REF!</v>
      </c>
      <c r="S36" t="e">
        <f t="shared" si="22"/>
        <v>#REF!</v>
      </c>
      <c r="T36" t="e">
        <f t="shared" si="22"/>
        <v>#REF!</v>
      </c>
      <c r="U36" t="e">
        <f t="shared" si="22"/>
        <v>#REF!</v>
      </c>
      <c r="V36" t="e">
        <f t="shared" si="22"/>
        <v>#REF!</v>
      </c>
      <c r="W36" t="e">
        <f t="shared" si="22"/>
        <v>#REF!</v>
      </c>
      <c r="X36" t="e">
        <f t="shared" si="22"/>
        <v>#REF!</v>
      </c>
      <c r="Y36" t="e">
        <f t="shared" si="22"/>
        <v>#REF!</v>
      </c>
      <c r="Z36" t="e">
        <f t="shared" si="22"/>
        <v>#REF!</v>
      </c>
      <c r="AA36" t="e">
        <f t="shared" si="22"/>
        <v>#REF!</v>
      </c>
      <c r="AB36" t="e">
        <f t="shared" si="22"/>
        <v>#REF!</v>
      </c>
      <c r="AC36" t="e">
        <f t="shared" si="22"/>
        <v>#REF!</v>
      </c>
    </row>
    <row r="37" spans="1:29" ht="15" customHeight="1">
      <c r="A37" t="s">
        <v>370</v>
      </c>
      <c r="B37" t="s">
        <v>371</v>
      </c>
      <c r="C37" t="s">
        <v>372</v>
      </c>
      <c r="D37" t="e">
        <f t="shared" ref="D37:AC37" si="23">MAX(0,(D29-D22)/VRE_Sprd)</f>
        <v>#REF!</v>
      </c>
      <c r="E37" t="e">
        <f t="shared" si="23"/>
        <v>#REF!</v>
      </c>
      <c r="F37" t="e">
        <f t="shared" si="23"/>
        <v>#REF!</v>
      </c>
      <c r="G37" t="e">
        <f t="shared" si="23"/>
        <v>#REF!</v>
      </c>
      <c r="H37" t="e">
        <f t="shared" si="23"/>
        <v>#REF!</v>
      </c>
      <c r="I37" t="e">
        <f t="shared" si="23"/>
        <v>#REF!</v>
      </c>
      <c r="J37" t="e">
        <f t="shared" si="23"/>
        <v>#REF!</v>
      </c>
      <c r="K37" t="e">
        <f t="shared" si="23"/>
        <v>#REF!</v>
      </c>
      <c r="L37" t="e">
        <f t="shared" si="23"/>
        <v>#REF!</v>
      </c>
      <c r="M37" t="e">
        <f t="shared" si="23"/>
        <v>#REF!</v>
      </c>
      <c r="N37" t="e">
        <f t="shared" si="23"/>
        <v>#REF!</v>
      </c>
      <c r="O37" t="e">
        <f t="shared" si="23"/>
        <v>#REF!</v>
      </c>
      <c r="P37" t="e">
        <f t="shared" si="23"/>
        <v>#REF!</v>
      </c>
      <c r="Q37" t="e">
        <f t="shared" si="23"/>
        <v>#REF!</v>
      </c>
      <c r="R37" t="e">
        <f t="shared" si="23"/>
        <v>#REF!</v>
      </c>
      <c r="S37" t="e">
        <f t="shared" si="23"/>
        <v>#REF!</v>
      </c>
      <c r="T37" t="e">
        <f t="shared" si="23"/>
        <v>#REF!</v>
      </c>
      <c r="U37" t="e">
        <f t="shared" si="23"/>
        <v>#REF!</v>
      </c>
      <c r="V37" t="e">
        <f t="shared" si="23"/>
        <v>#REF!</v>
      </c>
      <c r="W37" t="e">
        <f t="shared" si="23"/>
        <v>#REF!</v>
      </c>
      <c r="X37" t="e">
        <f t="shared" si="23"/>
        <v>#REF!</v>
      </c>
      <c r="Y37" t="e">
        <f t="shared" si="23"/>
        <v>#REF!</v>
      </c>
      <c r="Z37" t="e">
        <f t="shared" si="23"/>
        <v>#REF!</v>
      </c>
      <c r="AA37" t="e">
        <f t="shared" si="23"/>
        <v>#REF!</v>
      </c>
      <c r="AB37" t="e">
        <f t="shared" si="23"/>
        <v>#REF!</v>
      </c>
      <c r="AC37" t="e">
        <f t="shared" si="23"/>
        <v>#REF!</v>
      </c>
    </row>
    <row r="38" spans="1:29" ht="15" customHeight="1">
      <c r="A38" t="s">
        <v>373</v>
      </c>
      <c r="B38" t="s">
        <v>371</v>
      </c>
      <c r="C38" t="s">
        <v>374</v>
      </c>
      <c r="D38" s="60">
        <v>0</v>
      </c>
      <c r="E38" s="60">
        <v>0</v>
      </c>
      <c r="F38" s="60">
        <v>0</v>
      </c>
      <c r="G38" s="60">
        <v>0</v>
      </c>
      <c r="H38" s="60">
        <v>0</v>
      </c>
      <c r="I38" s="60">
        <v>0</v>
      </c>
      <c r="J38" s="60">
        <v>0</v>
      </c>
      <c r="K38" s="60">
        <v>0</v>
      </c>
      <c r="L38" s="60">
        <v>0</v>
      </c>
      <c r="M38" s="60">
        <v>0</v>
      </c>
      <c r="N38" s="60">
        <v>0</v>
      </c>
      <c r="O38" s="60">
        <v>0</v>
      </c>
      <c r="P38" s="60">
        <v>0</v>
      </c>
      <c r="Q38" s="60">
        <v>0</v>
      </c>
      <c r="R38" s="60">
        <v>0</v>
      </c>
      <c r="S38" s="60">
        <v>0</v>
      </c>
      <c r="T38" s="60">
        <v>0</v>
      </c>
      <c r="U38" s="60">
        <v>0</v>
      </c>
      <c r="V38" s="60">
        <v>0</v>
      </c>
      <c r="W38" s="60">
        <v>0</v>
      </c>
      <c r="X38" s="60">
        <v>0</v>
      </c>
      <c r="Y38" s="60">
        <v>0</v>
      </c>
      <c r="Z38" s="60">
        <v>0</v>
      </c>
      <c r="AA38" s="60">
        <v>0</v>
      </c>
      <c r="AB38" s="60">
        <v>0</v>
      </c>
      <c r="AC38" s="60">
        <v>0</v>
      </c>
    </row>
    <row r="39" spans="1:29" ht="15" customHeight="1">
      <c r="A39" t="s">
        <v>375</v>
      </c>
      <c r="B39" t="s">
        <v>26</v>
      </c>
      <c r="C39" t="s">
        <v>376</v>
      </c>
      <c r="D39">
        <f>MAX(0,D11-(D16+D19+D23*VRE_ELCC+Other_Firm))</f>
        <v>0</v>
      </c>
      <c r="E39" t="e">
        <f t="shared" ref="E39:AC39" si="24">MAX(0,E11-(E16+E19+D44*Firm_CFp+D51*Firm_CFp+E23*VRE_ELCC+Other_Firm))</f>
        <v>#REF!</v>
      </c>
      <c r="F39" t="e">
        <f t="shared" si="24"/>
        <v>#REF!</v>
      </c>
      <c r="G39" t="e">
        <f t="shared" si="24"/>
        <v>#REF!</v>
      </c>
      <c r="H39" t="e">
        <f t="shared" si="24"/>
        <v>#REF!</v>
      </c>
      <c r="I39" t="e">
        <f t="shared" si="24"/>
        <v>#REF!</v>
      </c>
      <c r="J39" t="e">
        <f t="shared" si="24"/>
        <v>#REF!</v>
      </c>
      <c r="K39" t="e">
        <f t="shared" si="24"/>
        <v>#REF!</v>
      </c>
      <c r="L39" t="e">
        <f t="shared" si="24"/>
        <v>#REF!</v>
      </c>
      <c r="M39" t="e">
        <f t="shared" si="24"/>
        <v>#REF!</v>
      </c>
      <c r="N39" t="e">
        <f t="shared" si="24"/>
        <v>#REF!</v>
      </c>
      <c r="O39" t="e">
        <f t="shared" si="24"/>
        <v>#REF!</v>
      </c>
      <c r="P39" t="e">
        <f t="shared" si="24"/>
        <v>#REF!</v>
      </c>
      <c r="Q39" t="e">
        <f t="shared" si="24"/>
        <v>#REF!</v>
      </c>
      <c r="R39" t="e">
        <f t="shared" si="24"/>
        <v>#REF!</v>
      </c>
      <c r="S39" t="e">
        <f t="shared" si="24"/>
        <v>#REF!</v>
      </c>
      <c r="T39" t="e">
        <f t="shared" si="24"/>
        <v>#REF!</v>
      </c>
      <c r="U39" t="e">
        <f t="shared" si="24"/>
        <v>#REF!</v>
      </c>
      <c r="V39" t="e">
        <f t="shared" si="24"/>
        <v>#REF!</v>
      </c>
      <c r="W39" t="e">
        <f t="shared" si="24"/>
        <v>#REF!</v>
      </c>
      <c r="X39" t="e">
        <f t="shared" si="24"/>
        <v>#REF!</v>
      </c>
      <c r="Y39" t="e">
        <f t="shared" si="24"/>
        <v>#REF!</v>
      </c>
      <c r="Z39" t="e">
        <f t="shared" si="24"/>
        <v>#REF!</v>
      </c>
      <c r="AA39" t="e">
        <f t="shared" si="24"/>
        <v>#REF!</v>
      </c>
      <c r="AB39" t="e">
        <f t="shared" si="24"/>
        <v>#REF!</v>
      </c>
      <c r="AC39" t="e">
        <f t="shared" si="24"/>
        <v>#REF!</v>
      </c>
    </row>
    <row r="40" spans="1:29" ht="15" customHeight="1">
      <c r="A40" t="s">
        <v>377</v>
      </c>
      <c r="B40" t="s">
        <v>26</v>
      </c>
      <c r="C40" t="s">
        <v>378</v>
      </c>
      <c r="D40">
        <f>0</f>
        <v>0</v>
      </c>
      <c r="E40" t="e">
        <f t="shared" ref="E40:AC40" si="25">D40*(1-VRE_Dep)+E37</f>
        <v>#REF!</v>
      </c>
      <c r="F40" t="e">
        <f t="shared" si="25"/>
        <v>#REF!</v>
      </c>
      <c r="G40" t="e">
        <f t="shared" si="25"/>
        <v>#REF!</v>
      </c>
      <c r="H40" t="e">
        <f t="shared" si="25"/>
        <v>#REF!</v>
      </c>
      <c r="I40" t="e">
        <f t="shared" si="25"/>
        <v>#REF!</v>
      </c>
      <c r="J40" t="e">
        <f t="shared" si="25"/>
        <v>#REF!</v>
      </c>
      <c r="K40" t="e">
        <f t="shared" si="25"/>
        <v>#REF!</v>
      </c>
      <c r="L40" t="e">
        <f t="shared" si="25"/>
        <v>#REF!</v>
      </c>
      <c r="M40" t="e">
        <f t="shared" si="25"/>
        <v>#REF!</v>
      </c>
      <c r="N40" t="e">
        <f t="shared" si="25"/>
        <v>#REF!</v>
      </c>
      <c r="O40" t="e">
        <f t="shared" si="25"/>
        <v>#REF!</v>
      </c>
      <c r="P40" t="e">
        <f t="shared" si="25"/>
        <v>#REF!</v>
      </c>
      <c r="Q40" t="e">
        <f t="shared" si="25"/>
        <v>#REF!</v>
      </c>
      <c r="R40" t="e">
        <f t="shared" si="25"/>
        <v>#REF!</v>
      </c>
      <c r="S40" t="e">
        <f t="shared" si="25"/>
        <v>#REF!</v>
      </c>
      <c r="T40" t="e">
        <f t="shared" si="25"/>
        <v>#REF!</v>
      </c>
      <c r="U40" t="e">
        <f t="shared" si="25"/>
        <v>#REF!</v>
      </c>
      <c r="V40" t="e">
        <f t="shared" si="25"/>
        <v>#REF!</v>
      </c>
      <c r="W40" t="e">
        <f t="shared" si="25"/>
        <v>#REF!</v>
      </c>
      <c r="X40" t="e">
        <f t="shared" si="25"/>
        <v>#REF!</v>
      </c>
      <c r="Y40" t="e">
        <f t="shared" si="25"/>
        <v>#REF!</v>
      </c>
      <c r="Z40" t="e">
        <f t="shared" si="25"/>
        <v>#REF!</v>
      </c>
      <c r="AA40" t="e">
        <f t="shared" si="25"/>
        <v>#REF!</v>
      </c>
      <c r="AB40" t="e">
        <f t="shared" si="25"/>
        <v>#REF!</v>
      </c>
      <c r="AC40" t="e">
        <f t="shared" si="25"/>
        <v>#REF!</v>
      </c>
    </row>
    <row r="41" spans="1:29" ht="15" customHeight="1">
      <c r="A41" t="s">
        <v>379</v>
      </c>
      <c r="B41" t="s">
        <v>371</v>
      </c>
      <c r="C41" t="s">
        <v>380</v>
      </c>
      <c r="D41" s="60">
        <v>0</v>
      </c>
      <c r="E41" s="60">
        <v>0</v>
      </c>
      <c r="F41" s="60">
        <v>0</v>
      </c>
      <c r="G41" s="60">
        <v>0</v>
      </c>
      <c r="H41" s="60">
        <v>0</v>
      </c>
      <c r="I41" s="60">
        <v>0</v>
      </c>
      <c r="J41" s="60">
        <v>0</v>
      </c>
      <c r="K41" s="60">
        <v>0</v>
      </c>
      <c r="L41" s="60">
        <v>0</v>
      </c>
      <c r="M41" s="60">
        <v>0</v>
      </c>
      <c r="N41" s="60">
        <v>0</v>
      </c>
      <c r="O41" s="60">
        <v>0</v>
      </c>
      <c r="P41" s="60">
        <v>0</v>
      </c>
      <c r="Q41" s="60">
        <v>0</v>
      </c>
      <c r="R41" s="60">
        <v>0</v>
      </c>
      <c r="S41" s="60">
        <v>0</v>
      </c>
      <c r="T41" s="60">
        <v>0</v>
      </c>
      <c r="U41" s="60">
        <v>0</v>
      </c>
      <c r="V41" s="60">
        <v>0</v>
      </c>
      <c r="W41" s="60">
        <v>0</v>
      </c>
      <c r="X41" s="60">
        <v>0</v>
      </c>
      <c r="Y41" s="60">
        <v>0</v>
      </c>
      <c r="Z41" s="60">
        <v>0</v>
      </c>
      <c r="AA41" s="60">
        <v>0</v>
      </c>
      <c r="AB41" s="60">
        <v>0</v>
      </c>
      <c r="AC41" s="60">
        <v>0</v>
      </c>
    </row>
    <row r="42" spans="1:29" ht="16.149999999999999" customHeight="1">
      <c r="A42" t="s">
        <v>381</v>
      </c>
    </row>
    <row r="43" spans="1:29" ht="15" customHeight="1">
      <c r="A43" t="s">
        <v>382</v>
      </c>
      <c r="B43" t="s">
        <v>26</v>
      </c>
      <c r="C43" t="s">
        <v>383</v>
      </c>
      <c r="D43" s="60">
        <v>0</v>
      </c>
      <c r="E43" s="60">
        <v>0</v>
      </c>
      <c r="F43" s="60">
        <v>0</v>
      </c>
      <c r="G43" s="60">
        <v>0</v>
      </c>
      <c r="H43" s="60">
        <v>0</v>
      </c>
      <c r="I43" s="60">
        <v>0</v>
      </c>
      <c r="J43" s="60">
        <v>0</v>
      </c>
      <c r="K43" s="60">
        <v>0</v>
      </c>
      <c r="L43" s="60">
        <v>0</v>
      </c>
      <c r="M43" s="60">
        <v>0</v>
      </c>
      <c r="N43" s="60">
        <v>0</v>
      </c>
      <c r="O43" s="60">
        <v>0</v>
      </c>
      <c r="P43" s="60">
        <v>0</v>
      </c>
      <c r="Q43" s="60">
        <v>0</v>
      </c>
      <c r="R43" s="60">
        <v>0</v>
      </c>
      <c r="S43" s="60">
        <v>0</v>
      </c>
      <c r="T43" s="60">
        <v>0</v>
      </c>
      <c r="U43" s="60">
        <v>0</v>
      </c>
      <c r="V43" s="60">
        <v>0</v>
      </c>
      <c r="W43" s="60">
        <v>0</v>
      </c>
      <c r="X43" s="60">
        <v>0</v>
      </c>
      <c r="Y43" s="60">
        <v>0</v>
      </c>
      <c r="Z43" s="60">
        <v>0</v>
      </c>
      <c r="AA43" s="60">
        <v>0</v>
      </c>
      <c r="AB43" s="60">
        <v>0</v>
      </c>
      <c r="AC43" s="60">
        <v>0</v>
      </c>
    </row>
    <row r="44" spans="1:29" ht="15" customHeight="1">
      <c r="A44" t="s">
        <v>384</v>
      </c>
      <c r="B44" t="s">
        <v>26</v>
      </c>
      <c r="C44" t="s">
        <v>385</v>
      </c>
      <c r="D44" s="60">
        <v>0</v>
      </c>
      <c r="E44" s="60">
        <v>0</v>
      </c>
      <c r="F44" s="60">
        <v>0</v>
      </c>
      <c r="G44" s="60">
        <v>0</v>
      </c>
      <c r="H44" s="60">
        <v>0</v>
      </c>
      <c r="I44" s="60">
        <v>0</v>
      </c>
      <c r="J44" s="60">
        <v>0</v>
      </c>
      <c r="K44" s="60">
        <v>0</v>
      </c>
      <c r="L44" s="60">
        <v>0</v>
      </c>
      <c r="M44" s="60">
        <v>0</v>
      </c>
      <c r="N44" s="60">
        <v>0</v>
      </c>
      <c r="O44" s="60">
        <v>0</v>
      </c>
      <c r="P44" s="60">
        <v>0</v>
      </c>
      <c r="Q44" s="60">
        <v>0</v>
      </c>
      <c r="R44" s="60">
        <v>0</v>
      </c>
      <c r="S44" s="60">
        <v>0</v>
      </c>
      <c r="T44" s="60">
        <v>0</v>
      </c>
      <c r="U44" s="60">
        <v>0</v>
      </c>
      <c r="V44" s="60">
        <v>0</v>
      </c>
      <c r="W44" s="60">
        <v>0</v>
      </c>
      <c r="X44" s="60">
        <v>0</v>
      </c>
      <c r="Y44" s="60">
        <v>0</v>
      </c>
      <c r="Z44" s="60">
        <v>0</v>
      </c>
      <c r="AA44" s="60">
        <v>0</v>
      </c>
      <c r="AB44" s="60">
        <v>0</v>
      </c>
      <c r="AC44" s="60">
        <v>0</v>
      </c>
    </row>
    <row r="45" spans="1:29" ht="16.149999999999999" customHeight="1">
      <c r="A45" t="s">
        <v>386</v>
      </c>
    </row>
    <row r="46" spans="1:29">
      <c r="D46" s="60">
        <v>0</v>
      </c>
      <c r="E46" s="60">
        <v>0</v>
      </c>
      <c r="F46" s="60">
        <v>0</v>
      </c>
      <c r="G46" s="60">
        <v>0</v>
      </c>
      <c r="H46" s="60">
        <v>0</v>
      </c>
      <c r="I46" s="60">
        <v>0</v>
      </c>
      <c r="J46" s="60">
        <v>0</v>
      </c>
      <c r="K46" s="60">
        <v>0</v>
      </c>
      <c r="L46" s="60">
        <v>0</v>
      </c>
      <c r="M46" s="60">
        <v>0</v>
      </c>
      <c r="N46" s="60">
        <v>0</v>
      </c>
      <c r="O46" s="60">
        <v>0</v>
      </c>
      <c r="P46" s="60">
        <v>0</v>
      </c>
      <c r="Q46" s="60">
        <v>0</v>
      </c>
      <c r="R46" s="60">
        <v>0</v>
      </c>
      <c r="S46" s="60">
        <v>0</v>
      </c>
      <c r="T46" s="60">
        <v>0</v>
      </c>
      <c r="U46" s="60">
        <v>0</v>
      </c>
      <c r="V46" s="60">
        <v>0</v>
      </c>
      <c r="W46" s="60">
        <v>0</v>
      </c>
      <c r="X46" s="60">
        <v>0</v>
      </c>
      <c r="Y46" s="60">
        <v>0</v>
      </c>
      <c r="Z46" s="60">
        <v>0</v>
      </c>
      <c r="AA46" s="60">
        <v>0</v>
      </c>
      <c r="AB46" s="60">
        <v>0</v>
      </c>
      <c r="AC46" s="60">
        <v>0</v>
      </c>
    </row>
    <row r="47" spans="1:29" ht="15" customHeight="1">
      <c r="A47" t="s">
        <v>387</v>
      </c>
      <c r="B47" t="s">
        <v>371</v>
      </c>
      <c r="C47" t="s">
        <v>388</v>
      </c>
      <c r="D47" s="60">
        <v>0</v>
      </c>
      <c r="E47" s="60">
        <v>0</v>
      </c>
      <c r="F47" s="60">
        <v>0</v>
      </c>
      <c r="G47" s="60">
        <v>0</v>
      </c>
      <c r="H47" s="60">
        <v>0</v>
      </c>
      <c r="I47" s="60">
        <v>0</v>
      </c>
      <c r="J47" s="60">
        <v>0</v>
      </c>
      <c r="K47" s="60">
        <v>0</v>
      </c>
      <c r="L47" s="60">
        <v>0</v>
      </c>
      <c r="M47" s="60">
        <v>0</v>
      </c>
      <c r="N47" s="60">
        <v>0</v>
      </c>
      <c r="O47" s="60">
        <v>0</v>
      </c>
      <c r="P47" s="60">
        <v>0</v>
      </c>
      <c r="Q47" s="60">
        <v>0</v>
      </c>
      <c r="R47" s="60">
        <v>0</v>
      </c>
      <c r="S47" s="60">
        <v>0</v>
      </c>
      <c r="T47" s="60">
        <v>0</v>
      </c>
      <c r="U47" s="60">
        <v>0</v>
      </c>
      <c r="V47" s="60">
        <v>0</v>
      </c>
      <c r="W47" s="60">
        <v>0</v>
      </c>
      <c r="X47" s="60">
        <v>0</v>
      </c>
      <c r="Y47" s="60">
        <v>0</v>
      </c>
      <c r="Z47" s="60">
        <v>0</v>
      </c>
      <c r="AA47" s="60">
        <v>0</v>
      </c>
      <c r="AB47" s="60">
        <v>0</v>
      </c>
      <c r="AC47" s="60">
        <v>0</v>
      </c>
    </row>
    <row r="48" spans="1:29" ht="15" hidden="1" customHeight="1">
      <c r="A48" t="s">
        <v>389</v>
      </c>
      <c r="B48" t="s">
        <v>44</v>
      </c>
      <c r="C48" t="s">
        <v>390</v>
      </c>
      <c r="D48" s="60">
        <v>0</v>
      </c>
      <c r="E48" s="60">
        <v>0</v>
      </c>
      <c r="F48" s="60">
        <v>0</v>
      </c>
      <c r="G48" s="60">
        <v>0</v>
      </c>
      <c r="H48" s="60">
        <v>0</v>
      </c>
      <c r="I48" s="60">
        <v>0</v>
      </c>
      <c r="J48" s="60">
        <v>0</v>
      </c>
      <c r="K48" s="60">
        <v>0</v>
      </c>
      <c r="L48" s="60">
        <v>0</v>
      </c>
      <c r="M48" s="60">
        <v>0</v>
      </c>
      <c r="N48" s="60">
        <v>0</v>
      </c>
      <c r="O48" s="60">
        <v>0</v>
      </c>
      <c r="P48" s="60">
        <v>0</v>
      </c>
      <c r="Q48" s="60">
        <v>0</v>
      </c>
      <c r="R48" s="60">
        <v>0</v>
      </c>
      <c r="S48" s="60">
        <v>0</v>
      </c>
      <c r="T48" s="60">
        <v>0</v>
      </c>
      <c r="U48" s="60">
        <v>0</v>
      </c>
      <c r="V48" s="60">
        <v>0</v>
      </c>
      <c r="W48" s="60">
        <v>0</v>
      </c>
      <c r="X48" s="60">
        <v>0</v>
      </c>
      <c r="Y48" s="60">
        <v>0</v>
      </c>
      <c r="Z48" s="60">
        <v>0</v>
      </c>
      <c r="AA48" s="60">
        <v>0</v>
      </c>
      <c r="AB48" s="60">
        <v>0</v>
      </c>
      <c r="AC48" s="60">
        <v>0</v>
      </c>
    </row>
    <row r="49" spans="1:29" ht="15" customHeight="1">
      <c r="A49" t="s">
        <v>391</v>
      </c>
      <c r="B49" t="s">
        <v>392</v>
      </c>
      <c r="C49" t="s">
        <v>393</v>
      </c>
      <c r="D49" s="60">
        <v>0</v>
      </c>
      <c r="E49" s="60">
        <v>0</v>
      </c>
      <c r="F49" s="60">
        <v>0</v>
      </c>
      <c r="G49" s="60">
        <v>0</v>
      </c>
      <c r="H49" s="60">
        <v>0</v>
      </c>
      <c r="I49" s="60">
        <v>0</v>
      </c>
      <c r="J49" s="60">
        <v>0</v>
      </c>
      <c r="K49" s="60">
        <v>0</v>
      </c>
      <c r="L49" s="60">
        <v>0</v>
      </c>
      <c r="M49" s="60">
        <v>0</v>
      </c>
      <c r="N49" s="60">
        <v>0</v>
      </c>
      <c r="O49" s="60">
        <v>0</v>
      </c>
      <c r="P49" s="60">
        <v>0</v>
      </c>
      <c r="Q49" s="60">
        <v>0</v>
      </c>
      <c r="R49" s="60">
        <v>0</v>
      </c>
      <c r="S49" s="60">
        <v>0</v>
      </c>
      <c r="T49" s="60">
        <v>0</v>
      </c>
      <c r="U49" s="60">
        <v>0</v>
      </c>
      <c r="V49" s="60">
        <v>0</v>
      </c>
      <c r="W49" s="60">
        <v>0</v>
      </c>
      <c r="X49" s="60">
        <v>0</v>
      </c>
      <c r="Y49" s="60">
        <v>0</v>
      </c>
      <c r="Z49" s="60">
        <v>0</v>
      </c>
      <c r="AA49" s="60">
        <v>0</v>
      </c>
      <c r="AB49" s="60">
        <v>0</v>
      </c>
      <c r="AC49" s="60">
        <v>0</v>
      </c>
    </row>
    <row r="50" spans="1:29" ht="15" customHeight="1">
      <c r="A50" t="s">
        <v>394</v>
      </c>
      <c r="B50" t="s">
        <v>371</v>
      </c>
      <c r="C50" t="s">
        <v>395</v>
      </c>
      <c r="D50">
        <f t="shared" ref="D50:AC50" si="26">MAX(0,(D32-Firm_LRMC)/Firm_Sprd)</f>
        <v>0</v>
      </c>
      <c r="E50" t="e">
        <f t="shared" si="26"/>
        <v>#REF!</v>
      </c>
      <c r="F50" t="e">
        <f t="shared" si="26"/>
        <v>#REF!</v>
      </c>
      <c r="G50" t="e">
        <f t="shared" si="26"/>
        <v>#REF!</v>
      </c>
      <c r="H50" t="e">
        <f t="shared" si="26"/>
        <v>#REF!</v>
      </c>
      <c r="I50" t="e">
        <f t="shared" si="26"/>
        <v>#REF!</v>
      </c>
      <c r="J50" t="e">
        <f t="shared" si="26"/>
        <v>#REF!</v>
      </c>
      <c r="K50" t="e">
        <f t="shared" si="26"/>
        <v>#REF!</v>
      </c>
      <c r="L50" t="e">
        <f t="shared" si="26"/>
        <v>#REF!</v>
      </c>
      <c r="M50" t="e">
        <f t="shared" si="26"/>
        <v>#REF!</v>
      </c>
      <c r="N50" t="e">
        <f t="shared" si="26"/>
        <v>#REF!</v>
      </c>
      <c r="O50" t="e">
        <f t="shared" si="26"/>
        <v>#REF!</v>
      </c>
      <c r="P50" t="e">
        <f t="shared" si="26"/>
        <v>#REF!</v>
      </c>
      <c r="Q50" t="e">
        <f t="shared" si="26"/>
        <v>#REF!</v>
      </c>
      <c r="R50" t="e">
        <f t="shared" si="26"/>
        <v>#REF!</v>
      </c>
      <c r="S50" t="e">
        <f t="shared" si="26"/>
        <v>#REF!</v>
      </c>
      <c r="T50" t="e">
        <f t="shared" si="26"/>
        <v>#REF!</v>
      </c>
      <c r="U50" t="e">
        <f t="shared" si="26"/>
        <v>#REF!</v>
      </c>
      <c r="V50" t="e">
        <f t="shared" si="26"/>
        <v>#REF!</v>
      </c>
      <c r="W50" t="e">
        <f t="shared" si="26"/>
        <v>#REF!</v>
      </c>
      <c r="X50" t="e">
        <f t="shared" si="26"/>
        <v>#REF!</v>
      </c>
      <c r="Y50" t="e">
        <f t="shared" si="26"/>
        <v>#REF!</v>
      </c>
      <c r="Z50" t="e">
        <f t="shared" si="26"/>
        <v>#REF!</v>
      </c>
      <c r="AA50" t="e">
        <f t="shared" si="26"/>
        <v>#REF!</v>
      </c>
      <c r="AB50" t="e">
        <f t="shared" si="26"/>
        <v>#REF!</v>
      </c>
      <c r="AC50" t="e">
        <f t="shared" si="26"/>
        <v>#REF!</v>
      </c>
    </row>
    <row r="51" spans="1:29" ht="15" customHeight="1">
      <c r="A51" t="s">
        <v>396</v>
      </c>
      <c r="B51" t="s">
        <v>26</v>
      </c>
      <c r="C51" t="s">
        <v>397</v>
      </c>
      <c r="D51">
        <f>0</f>
        <v>0</v>
      </c>
      <c r="E51" t="e">
        <f t="shared" ref="E51:AC51" si="27">D51*(1-Firm_Decay)+E50</f>
        <v>#REF!</v>
      </c>
      <c r="F51" t="e">
        <f t="shared" si="27"/>
        <v>#REF!</v>
      </c>
      <c r="G51" t="e">
        <f t="shared" si="27"/>
        <v>#REF!</v>
      </c>
      <c r="H51" t="e">
        <f t="shared" si="27"/>
        <v>#REF!</v>
      </c>
      <c r="I51" t="e">
        <f t="shared" si="27"/>
        <v>#REF!</v>
      </c>
      <c r="J51" t="e">
        <f t="shared" si="27"/>
        <v>#REF!</v>
      </c>
      <c r="K51" t="e">
        <f t="shared" si="27"/>
        <v>#REF!</v>
      </c>
      <c r="L51" t="e">
        <f t="shared" si="27"/>
        <v>#REF!</v>
      </c>
      <c r="M51" t="e">
        <f t="shared" si="27"/>
        <v>#REF!</v>
      </c>
      <c r="N51" t="e">
        <f t="shared" si="27"/>
        <v>#REF!</v>
      </c>
      <c r="O51" t="e">
        <f t="shared" si="27"/>
        <v>#REF!</v>
      </c>
      <c r="P51" t="e">
        <f t="shared" si="27"/>
        <v>#REF!</v>
      </c>
      <c r="Q51" t="e">
        <f t="shared" si="27"/>
        <v>#REF!</v>
      </c>
      <c r="R51" t="e">
        <f t="shared" si="27"/>
        <v>#REF!</v>
      </c>
      <c r="S51" t="e">
        <f t="shared" si="27"/>
        <v>#REF!</v>
      </c>
      <c r="T51" t="e">
        <f t="shared" si="27"/>
        <v>#REF!</v>
      </c>
      <c r="U51" t="e">
        <f t="shared" si="27"/>
        <v>#REF!</v>
      </c>
      <c r="V51" t="e">
        <f t="shared" si="27"/>
        <v>#REF!</v>
      </c>
      <c r="W51" t="e">
        <f t="shared" si="27"/>
        <v>#REF!</v>
      </c>
      <c r="X51" t="e">
        <f t="shared" si="27"/>
        <v>#REF!</v>
      </c>
      <c r="Y51" t="e">
        <f t="shared" si="27"/>
        <v>#REF!</v>
      </c>
      <c r="Z51" t="e">
        <f t="shared" si="27"/>
        <v>#REF!</v>
      </c>
      <c r="AA51" t="e">
        <f t="shared" si="27"/>
        <v>#REF!</v>
      </c>
      <c r="AB51" t="e">
        <f t="shared" si="27"/>
        <v>#REF!</v>
      </c>
      <c r="AC51" t="e">
        <f t="shared" si="27"/>
        <v>#REF!</v>
      </c>
    </row>
    <row r="52" spans="1:29">
      <c r="A52" t="s">
        <v>398</v>
      </c>
    </row>
    <row r="53" spans="1:29" ht="15" customHeight="1">
      <c r="A53" t="s">
        <v>399</v>
      </c>
      <c r="B53" t="s">
        <v>392</v>
      </c>
      <c r="C53" t="s">
        <v>400</v>
      </c>
      <c r="D53" s="60">
        <v>0</v>
      </c>
      <c r="E53" s="60">
        <v>0</v>
      </c>
      <c r="F53" s="60">
        <v>0</v>
      </c>
      <c r="G53" s="60">
        <v>0</v>
      </c>
      <c r="H53" s="60">
        <v>0</v>
      </c>
      <c r="I53" s="60">
        <v>0</v>
      </c>
      <c r="J53" s="60">
        <v>0</v>
      </c>
      <c r="K53" s="60">
        <v>0</v>
      </c>
      <c r="L53" s="60">
        <v>0</v>
      </c>
      <c r="M53" s="60">
        <v>0</v>
      </c>
      <c r="N53" s="60">
        <v>0</v>
      </c>
      <c r="O53" s="60">
        <v>0</v>
      </c>
      <c r="P53" s="60">
        <v>0</v>
      </c>
      <c r="Q53" s="60">
        <v>0</v>
      </c>
      <c r="R53" s="60">
        <v>0</v>
      </c>
      <c r="S53" s="60">
        <v>0</v>
      </c>
      <c r="T53" s="60">
        <v>0</v>
      </c>
      <c r="U53" s="60">
        <v>0</v>
      </c>
      <c r="V53" s="60">
        <v>0</v>
      </c>
      <c r="W53" s="60">
        <v>0</v>
      </c>
      <c r="X53" s="60">
        <v>0</v>
      </c>
      <c r="Y53" s="60">
        <v>0</v>
      </c>
      <c r="Z53" s="60">
        <v>0</v>
      </c>
      <c r="AA53" s="60">
        <v>0</v>
      </c>
      <c r="AB53" s="60">
        <v>0</v>
      </c>
      <c r="AC53" s="60">
        <v>0</v>
      </c>
    </row>
    <row r="54" spans="1:29" hidden="1">
      <c r="A54" t="s">
        <v>401</v>
      </c>
      <c r="D54" s="60">
        <v>0</v>
      </c>
      <c r="E54" s="60">
        <v>0</v>
      </c>
      <c r="F54" s="60">
        <v>0</v>
      </c>
      <c r="G54" s="60">
        <v>0</v>
      </c>
      <c r="H54" s="60">
        <v>0</v>
      </c>
      <c r="I54" s="60">
        <v>0</v>
      </c>
      <c r="J54" s="60">
        <v>0</v>
      </c>
      <c r="K54" s="60">
        <v>0</v>
      </c>
      <c r="L54" s="60">
        <v>0</v>
      </c>
      <c r="M54" s="60">
        <v>0</v>
      </c>
      <c r="N54" s="60">
        <v>0</v>
      </c>
      <c r="O54" s="60">
        <v>0</v>
      </c>
      <c r="P54" s="60">
        <v>0</v>
      </c>
      <c r="Q54" s="60">
        <v>0</v>
      </c>
      <c r="R54" s="60">
        <v>0</v>
      </c>
      <c r="S54" s="60">
        <v>0</v>
      </c>
      <c r="T54" s="60">
        <v>0</v>
      </c>
      <c r="U54" s="60">
        <v>0</v>
      </c>
      <c r="V54" s="60">
        <v>0</v>
      </c>
      <c r="W54" s="60">
        <v>0</v>
      </c>
      <c r="X54" s="60">
        <v>0</v>
      </c>
      <c r="Y54" s="60">
        <v>0</v>
      </c>
      <c r="Z54" s="60">
        <v>0</v>
      </c>
      <c r="AA54" s="60">
        <v>0</v>
      </c>
      <c r="AB54" s="60">
        <v>0</v>
      </c>
      <c r="AC54" s="60">
        <v>0</v>
      </c>
    </row>
    <row r="55" spans="1:29" hidden="1">
      <c r="A55" t="s">
        <v>401</v>
      </c>
      <c r="D55" s="60">
        <v>0</v>
      </c>
      <c r="E55" s="60">
        <v>0</v>
      </c>
      <c r="F55" s="60">
        <v>0</v>
      </c>
      <c r="G55" s="60">
        <v>0</v>
      </c>
      <c r="H55" s="60">
        <v>0</v>
      </c>
      <c r="I55" s="60">
        <v>0</v>
      </c>
      <c r="J55" s="60">
        <v>0</v>
      </c>
      <c r="K55" s="60">
        <v>0</v>
      </c>
      <c r="L55" s="60">
        <v>0</v>
      </c>
      <c r="M55" s="60">
        <v>0</v>
      </c>
      <c r="N55" s="60">
        <v>0</v>
      </c>
      <c r="O55" s="60">
        <v>0</v>
      </c>
      <c r="P55" s="60">
        <v>0</v>
      </c>
      <c r="Q55" s="60">
        <v>0</v>
      </c>
      <c r="R55" s="60">
        <v>0</v>
      </c>
      <c r="S55" s="60">
        <v>0</v>
      </c>
      <c r="T55" s="60">
        <v>0</v>
      </c>
      <c r="U55" s="60">
        <v>0</v>
      </c>
      <c r="V55" s="60">
        <v>0</v>
      </c>
      <c r="W55" s="60">
        <v>0</v>
      </c>
      <c r="X55" s="60">
        <v>0</v>
      </c>
      <c r="Y55" s="60">
        <v>0</v>
      </c>
      <c r="Z55" s="60">
        <v>0</v>
      </c>
      <c r="AA55" s="60">
        <v>0</v>
      </c>
      <c r="AB55" s="60">
        <v>0</v>
      </c>
      <c r="AC55" s="60">
        <v>0</v>
      </c>
    </row>
    <row r="56" spans="1:29" hidden="1">
      <c r="A56" t="s">
        <v>401</v>
      </c>
      <c r="D56" s="60">
        <v>0</v>
      </c>
      <c r="E56" s="60">
        <v>0</v>
      </c>
      <c r="F56" s="60">
        <v>0</v>
      </c>
      <c r="G56" s="60">
        <v>0</v>
      </c>
      <c r="H56" s="60">
        <v>0</v>
      </c>
      <c r="I56" s="60">
        <v>0</v>
      </c>
      <c r="J56" s="60">
        <v>0</v>
      </c>
      <c r="K56" s="60">
        <v>0</v>
      </c>
      <c r="L56" s="60">
        <v>0</v>
      </c>
      <c r="M56" s="60">
        <v>0</v>
      </c>
      <c r="N56" s="60">
        <v>0</v>
      </c>
      <c r="O56" s="60">
        <v>0</v>
      </c>
      <c r="P56" s="60">
        <v>0</v>
      </c>
      <c r="Q56" s="60">
        <v>0</v>
      </c>
      <c r="R56" s="60">
        <v>0</v>
      </c>
      <c r="S56" s="60">
        <v>0</v>
      </c>
      <c r="T56" s="60">
        <v>0</v>
      </c>
      <c r="U56" s="60">
        <v>0</v>
      </c>
      <c r="V56" s="60">
        <v>0</v>
      </c>
      <c r="W56" s="60">
        <v>0</v>
      </c>
      <c r="X56" s="60">
        <v>0</v>
      </c>
      <c r="Y56" s="60">
        <v>0</v>
      </c>
      <c r="Z56" s="60">
        <v>0</v>
      </c>
      <c r="AA56" s="60">
        <v>0</v>
      </c>
      <c r="AB56" s="60">
        <v>0</v>
      </c>
      <c r="AC56" s="60">
        <v>0</v>
      </c>
    </row>
    <row r="57" spans="1:29" hidden="1">
      <c r="A57" t="s">
        <v>401</v>
      </c>
      <c r="D57" s="60">
        <v>0</v>
      </c>
      <c r="E57" s="60">
        <v>0</v>
      </c>
      <c r="F57" s="60">
        <v>0</v>
      </c>
      <c r="G57" s="60">
        <v>0</v>
      </c>
      <c r="H57" s="60">
        <v>0</v>
      </c>
      <c r="I57" s="60">
        <v>0</v>
      </c>
      <c r="J57" s="60">
        <v>0</v>
      </c>
      <c r="K57" s="60">
        <v>0</v>
      </c>
      <c r="L57" s="60">
        <v>0</v>
      </c>
      <c r="M57" s="60">
        <v>0</v>
      </c>
      <c r="N57" s="60">
        <v>0</v>
      </c>
      <c r="O57" s="60">
        <v>0</v>
      </c>
      <c r="P57" s="60">
        <v>0</v>
      </c>
      <c r="Q57" s="60">
        <v>0</v>
      </c>
      <c r="R57" s="60">
        <v>0</v>
      </c>
      <c r="S57" s="60">
        <v>0</v>
      </c>
      <c r="T57" s="60">
        <v>0</v>
      </c>
      <c r="U57" s="60">
        <v>0</v>
      </c>
      <c r="V57" s="60">
        <v>0</v>
      </c>
      <c r="W57" s="60">
        <v>0</v>
      </c>
      <c r="X57" s="60">
        <v>0</v>
      </c>
      <c r="Y57" s="60">
        <v>0</v>
      </c>
      <c r="Z57" s="60">
        <v>0</v>
      </c>
      <c r="AA57" s="60">
        <v>0</v>
      </c>
      <c r="AB57" s="60">
        <v>0</v>
      </c>
      <c r="AC57" s="60">
        <v>0</v>
      </c>
    </row>
    <row r="58" spans="1:29" hidden="1">
      <c r="A58" t="s">
        <v>401</v>
      </c>
      <c r="D58" s="60">
        <v>0</v>
      </c>
      <c r="E58" s="60">
        <v>0</v>
      </c>
      <c r="F58" s="60">
        <v>0</v>
      </c>
      <c r="G58" s="60">
        <v>0</v>
      </c>
      <c r="H58" s="60">
        <v>0</v>
      </c>
      <c r="I58" s="60">
        <v>0</v>
      </c>
      <c r="J58" s="60">
        <v>0</v>
      </c>
      <c r="K58" s="60">
        <v>0</v>
      </c>
      <c r="L58" s="60">
        <v>0</v>
      </c>
      <c r="M58" s="60">
        <v>0</v>
      </c>
      <c r="N58" s="60">
        <v>0</v>
      </c>
      <c r="O58" s="60">
        <v>0</v>
      </c>
      <c r="P58" s="60">
        <v>0</v>
      </c>
      <c r="Q58" s="60">
        <v>0</v>
      </c>
      <c r="R58" s="60">
        <v>0</v>
      </c>
      <c r="S58" s="60">
        <v>0</v>
      </c>
      <c r="T58" s="60">
        <v>0</v>
      </c>
      <c r="U58" s="60">
        <v>0</v>
      </c>
      <c r="V58" s="60">
        <v>0</v>
      </c>
      <c r="W58" s="60">
        <v>0</v>
      </c>
      <c r="X58" s="60">
        <v>0</v>
      </c>
      <c r="Y58" s="60">
        <v>0</v>
      </c>
      <c r="Z58" s="60">
        <v>0</v>
      </c>
      <c r="AA58" s="60">
        <v>0</v>
      </c>
      <c r="AB58" s="60">
        <v>0</v>
      </c>
      <c r="AC58" s="60">
        <v>0</v>
      </c>
    </row>
    <row r="59" spans="1:29">
      <c r="A59" t="s">
        <v>402</v>
      </c>
    </row>
    <row r="60" spans="1:29" ht="15" hidden="1" customHeight="1">
      <c r="A60" t="s">
        <v>403</v>
      </c>
      <c r="B60" t="s">
        <v>392</v>
      </c>
      <c r="C60" t="s">
        <v>404</v>
      </c>
      <c r="D60" s="60">
        <v>0</v>
      </c>
      <c r="E60" s="60">
        <v>0</v>
      </c>
      <c r="F60" s="60">
        <v>0</v>
      </c>
      <c r="G60" s="60">
        <v>0</v>
      </c>
      <c r="H60" s="60">
        <v>0</v>
      </c>
      <c r="I60" s="60">
        <v>0</v>
      </c>
      <c r="J60" s="60">
        <v>0</v>
      </c>
      <c r="K60" s="60">
        <v>0</v>
      </c>
      <c r="L60" s="60">
        <v>0</v>
      </c>
      <c r="M60" s="60">
        <v>0</v>
      </c>
      <c r="N60" s="60">
        <v>0</v>
      </c>
      <c r="O60" s="60">
        <v>0</v>
      </c>
      <c r="P60" s="60">
        <v>0</v>
      </c>
      <c r="Q60" s="60">
        <v>0</v>
      </c>
      <c r="R60" s="60">
        <v>0</v>
      </c>
      <c r="S60" s="60">
        <v>0</v>
      </c>
      <c r="T60" s="60">
        <v>0</v>
      </c>
      <c r="U60" s="60">
        <v>0</v>
      </c>
      <c r="V60" s="60">
        <v>0</v>
      </c>
      <c r="W60" s="60">
        <v>0</v>
      </c>
      <c r="X60" s="60">
        <v>0</v>
      </c>
      <c r="Y60" s="60">
        <v>0</v>
      </c>
      <c r="Z60" s="60">
        <v>0</v>
      </c>
      <c r="AA60" s="60">
        <v>0</v>
      </c>
      <c r="AB60" s="60">
        <v>0</v>
      </c>
      <c r="AC60" s="60">
        <v>0</v>
      </c>
    </row>
    <row r="61" spans="1:29" ht="15" customHeight="1">
      <c r="A61" t="s">
        <v>405</v>
      </c>
      <c r="B61" t="s">
        <v>392</v>
      </c>
      <c r="C61" t="s">
        <v>406</v>
      </c>
      <c r="D61" s="60">
        <v>0</v>
      </c>
      <c r="E61" s="60">
        <v>0</v>
      </c>
      <c r="F61" s="60">
        <v>0</v>
      </c>
      <c r="G61" s="60">
        <v>0</v>
      </c>
      <c r="H61" s="60">
        <v>0</v>
      </c>
      <c r="I61" s="60">
        <v>0</v>
      </c>
      <c r="J61" s="60">
        <v>0</v>
      </c>
      <c r="K61" s="60">
        <v>0</v>
      </c>
      <c r="L61" s="60">
        <v>0</v>
      </c>
      <c r="M61" s="60">
        <v>0</v>
      </c>
      <c r="N61" s="60">
        <v>0</v>
      </c>
      <c r="O61" s="60">
        <v>0</v>
      </c>
      <c r="P61" s="60">
        <v>0</v>
      </c>
      <c r="Q61" s="60">
        <v>0</v>
      </c>
      <c r="R61" s="60">
        <v>0</v>
      </c>
      <c r="S61" s="60">
        <v>0</v>
      </c>
      <c r="T61" s="60">
        <v>0</v>
      </c>
      <c r="U61" s="60">
        <v>0</v>
      </c>
      <c r="V61" s="60">
        <v>0</v>
      </c>
      <c r="W61" s="60">
        <v>0</v>
      </c>
      <c r="X61" s="60">
        <v>0</v>
      </c>
      <c r="Y61" s="60">
        <v>0</v>
      </c>
      <c r="Z61" s="60">
        <v>0</v>
      </c>
      <c r="AA61" s="60">
        <v>0</v>
      </c>
      <c r="AB61" s="60">
        <v>0</v>
      </c>
      <c r="AC61" s="60">
        <v>0</v>
      </c>
    </row>
    <row r="62" spans="1:29" ht="15" customHeight="1">
      <c r="A62" t="s">
        <v>407</v>
      </c>
      <c r="B62" t="s">
        <v>408</v>
      </c>
      <c r="C62" t="s">
        <v>409</v>
      </c>
      <c r="D62" s="60">
        <v>0</v>
      </c>
      <c r="E62" s="60">
        <v>0</v>
      </c>
      <c r="F62" s="60">
        <v>0</v>
      </c>
      <c r="G62" s="60">
        <v>0</v>
      </c>
      <c r="H62" s="60">
        <v>0</v>
      </c>
      <c r="I62" s="60">
        <v>0</v>
      </c>
      <c r="J62" s="60">
        <v>0</v>
      </c>
      <c r="K62" s="60">
        <v>0</v>
      </c>
      <c r="L62" s="60">
        <v>0</v>
      </c>
      <c r="M62" s="60">
        <v>0</v>
      </c>
      <c r="N62" s="60">
        <v>0</v>
      </c>
      <c r="O62" s="60">
        <v>0</v>
      </c>
      <c r="P62" s="60">
        <v>0</v>
      </c>
      <c r="Q62" s="60">
        <v>0</v>
      </c>
      <c r="R62" s="60">
        <v>0</v>
      </c>
      <c r="S62" s="60">
        <v>0</v>
      </c>
      <c r="T62" s="60">
        <v>0</v>
      </c>
      <c r="U62" s="60">
        <v>0</v>
      </c>
      <c r="V62" s="60">
        <v>0</v>
      </c>
      <c r="W62" s="60">
        <v>0</v>
      </c>
      <c r="X62" s="60">
        <v>0</v>
      </c>
      <c r="Y62" s="60">
        <v>0</v>
      </c>
      <c r="Z62" s="60">
        <v>0</v>
      </c>
      <c r="AA62" s="60">
        <v>0</v>
      </c>
      <c r="AB62" s="60">
        <v>0</v>
      </c>
      <c r="AC62" s="60">
        <v>0</v>
      </c>
    </row>
    <row r="63" spans="1:29" ht="15" customHeight="1">
      <c r="A63" t="s">
        <v>410</v>
      </c>
      <c r="B63" t="s">
        <v>44</v>
      </c>
      <c r="C63" t="s">
        <v>411</v>
      </c>
      <c r="D63" s="60">
        <v>0</v>
      </c>
      <c r="E63" s="60">
        <v>0</v>
      </c>
      <c r="F63" s="60">
        <v>0</v>
      </c>
      <c r="G63" s="60">
        <v>0</v>
      </c>
      <c r="H63" s="60">
        <v>0</v>
      </c>
      <c r="I63" s="60">
        <v>0</v>
      </c>
      <c r="J63" s="60">
        <v>0</v>
      </c>
      <c r="K63" s="60">
        <v>0</v>
      </c>
      <c r="L63" s="60">
        <v>0</v>
      </c>
      <c r="M63" s="60">
        <v>0</v>
      </c>
      <c r="N63" s="60">
        <v>0</v>
      </c>
      <c r="O63" s="60">
        <v>0</v>
      </c>
      <c r="P63" s="60">
        <v>0</v>
      </c>
      <c r="Q63" s="60">
        <v>0</v>
      </c>
      <c r="R63" s="60">
        <v>0</v>
      </c>
      <c r="S63" s="60">
        <v>0</v>
      </c>
      <c r="T63" s="60">
        <v>0</v>
      </c>
      <c r="U63" s="60">
        <v>0</v>
      </c>
      <c r="V63" s="60">
        <v>0</v>
      </c>
      <c r="W63" s="60">
        <v>0</v>
      </c>
      <c r="X63" s="60">
        <v>0</v>
      </c>
      <c r="Y63" s="60">
        <v>0</v>
      </c>
      <c r="Z63" s="60">
        <v>0</v>
      </c>
      <c r="AA63" s="60">
        <v>0</v>
      </c>
      <c r="AB63" s="60">
        <v>0</v>
      </c>
      <c r="AC63" s="60">
        <v>0</v>
      </c>
    </row>
    <row r="64" spans="1:29" ht="16.149999999999999" customHeight="1">
      <c r="A64" t="s">
        <v>412</v>
      </c>
    </row>
    <row r="65" spans="1:29" ht="15" customHeight="1">
      <c r="A65" t="s">
        <v>413</v>
      </c>
      <c r="B65" t="s">
        <v>44</v>
      </c>
      <c r="C65" t="s">
        <v>414</v>
      </c>
      <c r="D65" s="59">
        <f t="shared" ref="D65:AC65" si="28">D27</f>
        <v>0</v>
      </c>
      <c r="E65" s="59" t="e">
        <f t="shared" si="28"/>
        <v>#REF!</v>
      </c>
      <c r="F65" s="59" t="e">
        <f t="shared" si="28"/>
        <v>#REF!</v>
      </c>
      <c r="G65" s="59" t="e">
        <f t="shared" si="28"/>
        <v>#REF!</v>
      </c>
      <c r="H65" s="59" t="e">
        <f t="shared" si="28"/>
        <v>#REF!</v>
      </c>
      <c r="I65" s="59" t="e">
        <f t="shared" si="28"/>
        <v>#REF!</v>
      </c>
      <c r="J65" s="59" t="e">
        <f t="shared" si="28"/>
        <v>#REF!</v>
      </c>
      <c r="K65" s="59" t="e">
        <f t="shared" si="28"/>
        <v>#REF!</v>
      </c>
      <c r="L65" s="59" t="e">
        <f t="shared" si="28"/>
        <v>#REF!</v>
      </c>
      <c r="M65" s="59" t="e">
        <f t="shared" si="28"/>
        <v>#REF!</v>
      </c>
      <c r="N65" s="59" t="e">
        <f t="shared" si="28"/>
        <v>#REF!</v>
      </c>
      <c r="O65" s="59" t="e">
        <f t="shared" si="28"/>
        <v>#REF!</v>
      </c>
      <c r="P65" s="59" t="e">
        <f t="shared" si="28"/>
        <v>#REF!</v>
      </c>
      <c r="Q65" s="59" t="e">
        <f t="shared" si="28"/>
        <v>#REF!</v>
      </c>
      <c r="R65" s="59" t="e">
        <f t="shared" si="28"/>
        <v>#REF!</v>
      </c>
      <c r="S65" s="59" t="e">
        <f t="shared" si="28"/>
        <v>#REF!</v>
      </c>
      <c r="T65" s="59" t="e">
        <f t="shared" si="28"/>
        <v>#REF!</v>
      </c>
      <c r="U65" s="59" t="e">
        <f t="shared" si="28"/>
        <v>#REF!</v>
      </c>
      <c r="V65" s="59" t="e">
        <f t="shared" si="28"/>
        <v>#REF!</v>
      </c>
      <c r="W65" s="59" t="e">
        <f t="shared" si="28"/>
        <v>#REF!</v>
      </c>
      <c r="X65" s="59" t="e">
        <f t="shared" si="28"/>
        <v>#REF!</v>
      </c>
      <c r="Y65" s="59" t="e">
        <f t="shared" si="28"/>
        <v>#REF!</v>
      </c>
      <c r="Z65" s="59" t="e">
        <f t="shared" si="28"/>
        <v>#REF!</v>
      </c>
      <c r="AA65" s="59" t="e">
        <f t="shared" si="28"/>
        <v>#REF!</v>
      </c>
      <c r="AB65" s="59" t="e">
        <f t="shared" si="28"/>
        <v>#REF!</v>
      </c>
      <c r="AC65" s="59" t="e">
        <f t="shared" si="28"/>
        <v>#REF!</v>
      </c>
    </row>
    <row r="66" spans="1:29" ht="15" customHeight="1">
      <c r="A66" t="s">
        <v>415</v>
      </c>
      <c r="B66" t="s">
        <v>39</v>
      </c>
      <c r="C66" t="s">
        <v>416</v>
      </c>
      <c r="D66">
        <f t="shared" ref="D66:AC66" si="29">IF(D22&gt;0,D27/D22,0)</f>
        <v>0</v>
      </c>
      <c r="E66">
        <f t="shared" si="29"/>
        <v>0</v>
      </c>
      <c r="F66">
        <f t="shared" si="29"/>
        <v>0</v>
      </c>
      <c r="G66">
        <f t="shared" si="29"/>
        <v>0</v>
      </c>
      <c r="H66">
        <f t="shared" si="29"/>
        <v>0</v>
      </c>
      <c r="I66">
        <f t="shared" si="29"/>
        <v>0</v>
      </c>
      <c r="J66">
        <f t="shared" si="29"/>
        <v>0</v>
      </c>
      <c r="K66">
        <f t="shared" si="29"/>
        <v>0</v>
      </c>
      <c r="L66">
        <f t="shared" si="29"/>
        <v>0</v>
      </c>
      <c r="M66">
        <f t="shared" si="29"/>
        <v>0</v>
      </c>
      <c r="N66">
        <f t="shared" si="29"/>
        <v>0</v>
      </c>
      <c r="O66">
        <f t="shared" si="29"/>
        <v>0</v>
      </c>
      <c r="P66">
        <f t="shared" si="29"/>
        <v>0</v>
      </c>
      <c r="Q66">
        <f t="shared" si="29"/>
        <v>0</v>
      </c>
      <c r="R66">
        <f t="shared" si="29"/>
        <v>0</v>
      </c>
      <c r="S66">
        <f t="shared" si="29"/>
        <v>0</v>
      </c>
      <c r="T66">
        <f t="shared" si="29"/>
        <v>0</v>
      </c>
      <c r="U66">
        <f t="shared" si="29"/>
        <v>0</v>
      </c>
      <c r="V66">
        <f t="shared" si="29"/>
        <v>0</v>
      </c>
      <c r="W66">
        <f t="shared" si="29"/>
        <v>0</v>
      </c>
      <c r="X66">
        <f t="shared" si="29"/>
        <v>0</v>
      </c>
      <c r="Y66">
        <f t="shared" si="29"/>
        <v>0</v>
      </c>
      <c r="Z66">
        <f t="shared" si="29"/>
        <v>0</v>
      </c>
      <c r="AA66">
        <f t="shared" si="29"/>
        <v>0</v>
      </c>
      <c r="AB66">
        <f t="shared" si="29"/>
        <v>0</v>
      </c>
      <c r="AC66">
        <f t="shared" si="29"/>
        <v>0</v>
      </c>
    </row>
  </sheetData>
  <mergeCells count="1">
    <mergeCell ref="A1:AC1"/>
  </mergeCells>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86"/>
  <sheetViews>
    <sheetView showGridLines="0" tabSelected="1" workbookViewId="0">
      <pane xSplit="2" ySplit="3" topLeftCell="C18" activePane="bottomRight" state="frozen"/>
      <selection pane="topRight" activeCell="C1" sqref="C1"/>
      <selection pane="bottomLeft" activeCell="A4" sqref="A4"/>
      <selection pane="bottomRight" activeCell="B28" sqref="B28"/>
    </sheetView>
  </sheetViews>
  <sheetFormatPr defaultRowHeight="15"/>
  <cols>
    <col min="1" max="1" width="52" style="85" customWidth="1"/>
    <col min="2" max="2" width="12" style="85" customWidth="1"/>
    <col min="3" max="28" width="9" style="85" customWidth="1"/>
  </cols>
  <sheetData>
    <row r="1" spans="1:28" ht="18" customHeight="1">
      <c r="A1" s="108" t="s">
        <v>417</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row>
    <row r="2" spans="1:28" ht="24" customHeight="1">
      <c r="A2" s="56" t="s">
        <v>290</v>
      </c>
      <c r="B2" s="86" t="s">
        <v>291</v>
      </c>
      <c r="C2" s="87">
        <v>0</v>
      </c>
      <c r="D2" s="87">
        <v>1</v>
      </c>
      <c r="E2" s="87">
        <v>2</v>
      </c>
      <c r="F2" s="87">
        <v>3</v>
      </c>
      <c r="G2" s="87">
        <v>4</v>
      </c>
      <c r="H2" s="87">
        <v>5</v>
      </c>
      <c r="I2" s="87">
        <v>6</v>
      </c>
      <c r="J2" s="87">
        <v>7</v>
      </c>
      <c r="K2" s="87">
        <v>8</v>
      </c>
      <c r="L2" s="87">
        <v>9</v>
      </c>
      <c r="M2" s="87">
        <v>10</v>
      </c>
      <c r="N2" s="87">
        <v>11</v>
      </c>
      <c r="O2" s="87">
        <v>12</v>
      </c>
      <c r="P2" s="87">
        <v>13</v>
      </c>
      <c r="Q2" s="87">
        <v>14</v>
      </c>
      <c r="R2" s="87">
        <v>15</v>
      </c>
      <c r="S2" s="87">
        <v>16</v>
      </c>
      <c r="T2" s="87">
        <v>17</v>
      </c>
      <c r="U2" s="87">
        <v>18</v>
      </c>
      <c r="V2" s="87">
        <v>19</v>
      </c>
      <c r="W2" s="87">
        <v>20</v>
      </c>
      <c r="X2" s="87">
        <v>21</v>
      </c>
      <c r="Y2" s="87">
        <v>22</v>
      </c>
      <c r="Z2" s="87">
        <v>23</v>
      </c>
      <c r="AA2" s="87">
        <v>24</v>
      </c>
      <c r="AB2" s="87">
        <v>25</v>
      </c>
    </row>
    <row r="3" spans="1:28">
      <c r="A3" s="86" t="s">
        <v>293</v>
      </c>
      <c r="C3" s="88" t="s">
        <v>294</v>
      </c>
      <c r="D3" s="88" t="s">
        <v>295</v>
      </c>
      <c r="E3" s="88" t="s">
        <v>296</v>
      </c>
      <c r="F3" s="88" t="s">
        <v>297</v>
      </c>
      <c r="G3" s="88" t="s">
        <v>298</v>
      </c>
      <c r="H3" s="88" t="s">
        <v>299</v>
      </c>
      <c r="I3" s="88" t="s">
        <v>300</v>
      </c>
      <c r="J3" s="88" t="s">
        <v>301</v>
      </c>
      <c r="K3" s="88" t="s">
        <v>302</v>
      </c>
      <c r="L3" s="88" t="s">
        <v>303</v>
      </c>
      <c r="M3" s="88" t="s">
        <v>304</v>
      </c>
      <c r="N3" s="88" t="s">
        <v>305</v>
      </c>
      <c r="O3" s="88" t="s">
        <v>306</v>
      </c>
      <c r="P3" s="88" t="s">
        <v>307</v>
      </c>
      <c r="Q3" s="88" t="s">
        <v>308</v>
      </c>
      <c r="R3" s="88" t="s">
        <v>309</v>
      </c>
      <c r="S3" s="88" t="s">
        <v>310</v>
      </c>
      <c r="T3" s="88" t="s">
        <v>311</v>
      </c>
      <c r="U3" s="88" t="s">
        <v>312</v>
      </c>
      <c r="V3" s="88" t="s">
        <v>313</v>
      </c>
      <c r="W3" s="88" t="s">
        <v>314</v>
      </c>
      <c r="X3" s="88" t="s">
        <v>315</v>
      </c>
      <c r="Y3" s="88" t="s">
        <v>316</v>
      </c>
      <c r="Z3" s="88" t="s">
        <v>317</v>
      </c>
      <c r="AA3" s="88" t="s">
        <v>318</v>
      </c>
      <c r="AB3" s="88" t="s">
        <v>319</v>
      </c>
    </row>
    <row r="5" spans="1:28" ht="16.149999999999999" customHeight="1">
      <c r="A5" s="106" t="s">
        <v>418</v>
      </c>
      <c r="B5" s="107"/>
    </row>
    <row r="6" spans="1:28" ht="15" customHeight="1">
      <c r="A6" s="55" t="s">
        <v>321</v>
      </c>
      <c r="B6" s="86" t="s">
        <v>322</v>
      </c>
      <c r="C6" s="89">
        <v>0</v>
      </c>
      <c r="D6" s="89">
        <f>0</f>
        <v>0</v>
      </c>
      <c r="E6" s="89">
        <f>0</f>
        <v>0</v>
      </c>
      <c r="F6" s="89">
        <f>0</f>
        <v>0</v>
      </c>
      <c r="G6" s="89">
        <f>0</f>
        <v>0</v>
      </c>
      <c r="H6" s="89">
        <f>0</f>
        <v>0</v>
      </c>
      <c r="I6" s="89">
        <f>0</f>
        <v>0</v>
      </c>
      <c r="J6" s="89">
        <f>0</f>
        <v>0</v>
      </c>
      <c r="K6" s="89">
        <f>0</f>
        <v>0</v>
      </c>
      <c r="L6" s="89">
        <f>0</f>
        <v>0</v>
      </c>
      <c r="M6" s="89">
        <f>0</f>
        <v>0</v>
      </c>
      <c r="N6" s="89">
        <f>0</f>
        <v>0</v>
      </c>
      <c r="O6" s="89">
        <f>0</f>
        <v>0</v>
      </c>
      <c r="P6" s="89">
        <f>0</f>
        <v>0</v>
      </c>
      <c r="Q6" s="89">
        <f>0</f>
        <v>0</v>
      </c>
      <c r="R6" s="89">
        <f>0</f>
        <v>0</v>
      </c>
      <c r="S6" s="89">
        <f>0</f>
        <v>0</v>
      </c>
      <c r="T6" s="89">
        <f>0</f>
        <v>0</v>
      </c>
      <c r="U6" s="89">
        <f>0</f>
        <v>0</v>
      </c>
      <c r="V6" s="89">
        <f>0</f>
        <v>0</v>
      </c>
      <c r="W6" s="89">
        <f>0</f>
        <v>0</v>
      </c>
      <c r="X6" s="89">
        <f>0</f>
        <v>0</v>
      </c>
      <c r="Y6" s="89">
        <f>0</f>
        <v>0</v>
      </c>
      <c r="Z6" s="89">
        <f>0</f>
        <v>0</v>
      </c>
      <c r="AA6" s="89">
        <f>0</f>
        <v>0</v>
      </c>
      <c r="AB6" s="89">
        <f>0</f>
        <v>0</v>
      </c>
    </row>
    <row r="7" spans="1:28" ht="15" customHeight="1">
      <c r="A7" s="55" t="s">
        <v>323</v>
      </c>
      <c r="B7" s="86" t="s">
        <v>322</v>
      </c>
      <c r="C7" s="89">
        <v>0</v>
      </c>
      <c r="D7" s="89">
        <f>0</f>
        <v>0</v>
      </c>
      <c r="E7" s="89">
        <f>0</f>
        <v>0</v>
      </c>
      <c r="F7" s="89">
        <f>0</f>
        <v>0</v>
      </c>
      <c r="G7" s="89">
        <f>0</f>
        <v>0</v>
      </c>
      <c r="H7" s="89">
        <f>0</f>
        <v>0</v>
      </c>
      <c r="I7" s="89">
        <f>0</f>
        <v>0</v>
      </c>
      <c r="J7" s="89">
        <f>0</f>
        <v>0</v>
      </c>
      <c r="K7" s="89">
        <f>0</f>
        <v>0</v>
      </c>
      <c r="L7" s="89">
        <f>0</f>
        <v>0</v>
      </c>
      <c r="M7" s="89">
        <f>0</f>
        <v>0</v>
      </c>
      <c r="N7" s="89">
        <f>0</f>
        <v>0</v>
      </c>
      <c r="O7" s="89">
        <f>0</f>
        <v>0</v>
      </c>
      <c r="P7" s="89">
        <f>0</f>
        <v>0</v>
      </c>
      <c r="Q7" s="89">
        <f>0</f>
        <v>0</v>
      </c>
      <c r="R7" s="89">
        <f>0</f>
        <v>0</v>
      </c>
      <c r="S7" s="89">
        <f>0</f>
        <v>0</v>
      </c>
      <c r="T7" s="89">
        <f>0</f>
        <v>0</v>
      </c>
      <c r="U7" s="89">
        <f>0</f>
        <v>0</v>
      </c>
      <c r="V7" s="89">
        <f>0</f>
        <v>0</v>
      </c>
      <c r="W7" s="89">
        <f>0</f>
        <v>0</v>
      </c>
      <c r="X7" s="89">
        <f>0</f>
        <v>0</v>
      </c>
      <c r="Y7" s="89">
        <f>0</f>
        <v>0</v>
      </c>
      <c r="Z7" s="89">
        <f>0</f>
        <v>0</v>
      </c>
      <c r="AA7" s="89">
        <f>0</f>
        <v>0</v>
      </c>
      <c r="AB7" s="89">
        <f>0</f>
        <v>0</v>
      </c>
    </row>
    <row r="8" spans="1:28" ht="15" customHeight="1">
      <c r="A8" s="55" t="s">
        <v>419</v>
      </c>
      <c r="B8" s="86" t="s">
        <v>18</v>
      </c>
      <c r="C8" s="97">
        <f>Dem_Start</f>
        <v>180</v>
      </c>
      <c r="D8" s="97">
        <f t="shared" ref="D8:AB8" si="0">Dem_Start*(1+Dem_Growth)^D2</f>
        <v>184.49999999999997</v>
      </c>
      <c r="E8" s="97">
        <f t="shared" si="0"/>
        <v>189.11249999999998</v>
      </c>
      <c r="F8" s="97">
        <f t="shared" si="0"/>
        <v>193.84031249999998</v>
      </c>
      <c r="G8" s="97">
        <f t="shared" si="0"/>
        <v>198.68632031249996</v>
      </c>
      <c r="H8" s="97">
        <f t="shared" si="0"/>
        <v>203.65347832031244</v>
      </c>
      <c r="I8" s="97">
        <f t="shared" si="0"/>
        <v>208.74481527832023</v>
      </c>
      <c r="J8" s="97">
        <f t="shared" si="0"/>
        <v>213.96343566027824</v>
      </c>
      <c r="K8" s="97">
        <f t="shared" si="0"/>
        <v>219.31252155178518</v>
      </c>
      <c r="L8" s="97">
        <f t="shared" si="0"/>
        <v>224.79533459057978</v>
      </c>
      <c r="M8" s="97">
        <f t="shared" si="0"/>
        <v>230.41521795534427</v>
      </c>
      <c r="N8" s="97">
        <f t="shared" si="0"/>
        <v>236.17559840422788</v>
      </c>
      <c r="O8" s="97">
        <f t="shared" si="0"/>
        <v>242.07998836433356</v>
      </c>
      <c r="P8" s="97">
        <f t="shared" si="0"/>
        <v>248.13198807344187</v>
      </c>
      <c r="Q8" s="97">
        <f t="shared" si="0"/>
        <v>254.33528777527789</v>
      </c>
      <c r="R8" s="97">
        <f t="shared" si="0"/>
        <v>260.69366996965988</v>
      </c>
      <c r="S8" s="97">
        <f t="shared" si="0"/>
        <v>267.21101171890137</v>
      </c>
      <c r="T8" s="97">
        <f t="shared" si="0"/>
        <v>273.89128701187389</v>
      </c>
      <c r="U8" s="97">
        <f t="shared" si="0"/>
        <v>280.7385691871707</v>
      </c>
      <c r="V8" s="97">
        <f t="shared" si="0"/>
        <v>287.75703341684999</v>
      </c>
      <c r="W8" s="97">
        <f t="shared" si="0"/>
        <v>294.95095925227122</v>
      </c>
      <c r="X8" s="97">
        <f t="shared" si="0"/>
        <v>302.32473323357794</v>
      </c>
      <c r="Y8" s="97">
        <f t="shared" si="0"/>
        <v>309.88285156441736</v>
      </c>
      <c r="Z8" s="97">
        <f t="shared" si="0"/>
        <v>317.62992285352783</v>
      </c>
      <c r="AA8" s="97">
        <f t="shared" si="0"/>
        <v>325.57067092486602</v>
      </c>
      <c r="AB8" s="97">
        <f t="shared" si="0"/>
        <v>333.70993769798758</v>
      </c>
    </row>
    <row r="9" spans="1:28" ht="15" customHeight="1">
      <c r="A9" s="73" t="s">
        <v>420</v>
      </c>
      <c r="B9" s="84" t="s">
        <v>18</v>
      </c>
      <c r="C9" s="94">
        <f>C8</f>
        <v>180</v>
      </c>
      <c r="D9" s="94">
        <f t="shared" ref="D9:AB9" si="1">D8*(1+D6)</f>
        <v>184.49999999999997</v>
      </c>
      <c r="E9" s="94">
        <f t="shared" si="1"/>
        <v>189.11249999999998</v>
      </c>
      <c r="F9" s="94">
        <f t="shared" si="1"/>
        <v>193.84031249999998</v>
      </c>
      <c r="G9" s="94">
        <f t="shared" si="1"/>
        <v>198.68632031249996</v>
      </c>
      <c r="H9" s="94">
        <f t="shared" si="1"/>
        <v>203.65347832031244</v>
      </c>
      <c r="I9" s="94">
        <f t="shared" si="1"/>
        <v>208.74481527832023</v>
      </c>
      <c r="J9" s="94">
        <f t="shared" si="1"/>
        <v>213.96343566027824</v>
      </c>
      <c r="K9" s="94">
        <f t="shared" si="1"/>
        <v>219.31252155178518</v>
      </c>
      <c r="L9" s="94">
        <f t="shared" si="1"/>
        <v>224.79533459057978</v>
      </c>
      <c r="M9" s="94">
        <f t="shared" si="1"/>
        <v>230.41521795534427</v>
      </c>
      <c r="N9" s="94">
        <f t="shared" si="1"/>
        <v>236.17559840422788</v>
      </c>
      <c r="O9" s="95">
        <f t="shared" si="1"/>
        <v>242.07998836433356</v>
      </c>
      <c r="P9" s="95">
        <f t="shared" si="1"/>
        <v>248.13198807344187</v>
      </c>
      <c r="Q9" s="95">
        <f t="shared" si="1"/>
        <v>254.33528777527789</v>
      </c>
      <c r="R9" s="95">
        <f t="shared" si="1"/>
        <v>260.69366996965988</v>
      </c>
      <c r="S9" s="95">
        <f t="shared" si="1"/>
        <v>267.21101171890137</v>
      </c>
      <c r="T9" s="95">
        <f t="shared" si="1"/>
        <v>273.89128701187389</v>
      </c>
      <c r="U9" s="95">
        <f t="shared" si="1"/>
        <v>280.7385691871707</v>
      </c>
      <c r="V9" s="95">
        <f t="shared" si="1"/>
        <v>287.75703341684999</v>
      </c>
      <c r="W9" s="95">
        <f t="shared" si="1"/>
        <v>294.95095925227122</v>
      </c>
      <c r="X9" s="95">
        <f t="shared" si="1"/>
        <v>302.32473323357794</v>
      </c>
      <c r="Y9" s="95">
        <f t="shared" si="1"/>
        <v>309.88285156441736</v>
      </c>
      <c r="Z9" s="95">
        <f t="shared" si="1"/>
        <v>317.62992285352783</v>
      </c>
      <c r="AA9" s="95">
        <f t="shared" si="1"/>
        <v>325.57067092486602</v>
      </c>
      <c r="AB9" s="95">
        <f t="shared" si="1"/>
        <v>333.70993769798758</v>
      </c>
    </row>
    <row r="10" spans="1:28" ht="15" customHeight="1">
      <c r="A10" s="55" t="s">
        <v>421</v>
      </c>
      <c r="B10" s="86" t="s">
        <v>26</v>
      </c>
      <c r="C10" s="97">
        <f>Peak_Start</f>
        <v>36</v>
      </c>
      <c r="D10" s="97">
        <f t="shared" ref="D10:AB10" si="2">Peak_Start*(1+Peak_Growth)^D2</f>
        <v>36.72</v>
      </c>
      <c r="E10" s="97">
        <f t="shared" si="2"/>
        <v>37.4544</v>
      </c>
      <c r="F10" s="97">
        <f t="shared" si="2"/>
        <v>38.203488</v>
      </c>
      <c r="G10" s="97">
        <f t="shared" si="2"/>
        <v>38.967557759999998</v>
      </c>
      <c r="H10" s="97">
        <f t="shared" si="2"/>
        <v>39.746908915200002</v>
      </c>
      <c r="I10" s="97">
        <f t="shared" si="2"/>
        <v>40.541847093504003</v>
      </c>
      <c r="J10" s="97">
        <f t="shared" si="2"/>
        <v>41.352684035374075</v>
      </c>
      <c r="K10" s="97">
        <f t="shared" si="2"/>
        <v>42.179737716081561</v>
      </c>
      <c r="L10" s="97">
        <f t="shared" si="2"/>
        <v>43.02333247040319</v>
      </c>
      <c r="M10" s="97">
        <f t="shared" si="2"/>
        <v>43.883799119811258</v>
      </c>
      <c r="N10" s="97">
        <f t="shared" si="2"/>
        <v>44.76147510220747</v>
      </c>
      <c r="O10" s="97">
        <f t="shared" si="2"/>
        <v>45.65670460425163</v>
      </c>
      <c r="P10" s="97">
        <f t="shared" si="2"/>
        <v>46.56983869633666</v>
      </c>
      <c r="Q10" s="97">
        <f t="shared" si="2"/>
        <v>47.501235470263396</v>
      </c>
      <c r="R10" s="97">
        <f t="shared" si="2"/>
        <v>48.451260179668651</v>
      </c>
      <c r="S10" s="97">
        <f t="shared" si="2"/>
        <v>49.420285383262033</v>
      </c>
      <c r="T10" s="97">
        <f t="shared" si="2"/>
        <v>50.408691090927277</v>
      </c>
      <c r="U10" s="97">
        <f t="shared" si="2"/>
        <v>51.416864912745815</v>
      </c>
      <c r="V10" s="97">
        <f t="shared" si="2"/>
        <v>52.445202211000733</v>
      </c>
      <c r="W10" s="97">
        <f t="shared" si="2"/>
        <v>53.49410625522075</v>
      </c>
      <c r="X10" s="97">
        <f t="shared" si="2"/>
        <v>54.563988380325164</v>
      </c>
      <c r="Y10" s="97">
        <f t="shared" si="2"/>
        <v>55.655268147931672</v>
      </c>
      <c r="Z10" s="97">
        <f t="shared" si="2"/>
        <v>56.768373510890292</v>
      </c>
      <c r="AA10" s="97">
        <f t="shared" si="2"/>
        <v>57.903740981108101</v>
      </c>
      <c r="AB10" s="97">
        <f t="shared" si="2"/>
        <v>59.061815800730265</v>
      </c>
    </row>
    <row r="11" spans="1:28" ht="15" customHeight="1">
      <c r="A11" s="55" t="s">
        <v>422</v>
      </c>
      <c r="B11" s="86" t="s">
        <v>26</v>
      </c>
      <c r="C11" s="97">
        <f>C10</f>
        <v>36</v>
      </c>
      <c r="D11" s="97">
        <f t="shared" ref="D11:AB11" si="3">D10*(1+D6)</f>
        <v>36.72</v>
      </c>
      <c r="E11" s="97">
        <f t="shared" si="3"/>
        <v>37.4544</v>
      </c>
      <c r="F11" s="97">
        <f t="shared" si="3"/>
        <v>38.203488</v>
      </c>
      <c r="G11" s="97">
        <f t="shared" si="3"/>
        <v>38.967557759999998</v>
      </c>
      <c r="H11" s="97">
        <f t="shared" si="3"/>
        <v>39.746908915200002</v>
      </c>
      <c r="I11" s="97">
        <f t="shared" si="3"/>
        <v>40.541847093504003</v>
      </c>
      <c r="J11" s="97">
        <f t="shared" si="3"/>
        <v>41.352684035374075</v>
      </c>
      <c r="K11" s="97">
        <f t="shared" si="3"/>
        <v>42.179737716081561</v>
      </c>
      <c r="L11" s="97">
        <f t="shared" si="3"/>
        <v>43.02333247040319</v>
      </c>
      <c r="M11" s="97">
        <f t="shared" si="3"/>
        <v>43.883799119811258</v>
      </c>
      <c r="N11" s="97">
        <f t="shared" si="3"/>
        <v>44.76147510220747</v>
      </c>
      <c r="O11" s="97">
        <f t="shared" si="3"/>
        <v>45.65670460425163</v>
      </c>
      <c r="P11" s="97">
        <f t="shared" si="3"/>
        <v>46.56983869633666</v>
      </c>
      <c r="Q11" s="97">
        <f t="shared" si="3"/>
        <v>47.501235470263396</v>
      </c>
      <c r="R11" s="97">
        <f t="shared" si="3"/>
        <v>48.451260179668651</v>
      </c>
      <c r="S11" s="97">
        <f t="shared" si="3"/>
        <v>49.420285383262033</v>
      </c>
      <c r="T11" s="97">
        <f t="shared" si="3"/>
        <v>50.408691090927277</v>
      </c>
      <c r="U11" s="97">
        <f t="shared" si="3"/>
        <v>51.416864912745815</v>
      </c>
      <c r="V11" s="97">
        <f t="shared" si="3"/>
        <v>52.445202211000733</v>
      </c>
      <c r="W11" s="97">
        <f t="shared" si="3"/>
        <v>53.49410625522075</v>
      </c>
      <c r="X11" s="97">
        <f t="shared" si="3"/>
        <v>54.563988380325164</v>
      </c>
      <c r="Y11" s="97">
        <f t="shared" si="3"/>
        <v>55.655268147931672</v>
      </c>
      <c r="Z11" s="97">
        <f t="shared" si="3"/>
        <v>56.768373510890292</v>
      </c>
      <c r="AA11" s="97">
        <f t="shared" si="3"/>
        <v>57.903740981108101</v>
      </c>
      <c r="AB11" s="97">
        <f t="shared" si="3"/>
        <v>59.061815800730265</v>
      </c>
    </row>
    <row r="12" spans="1:28" ht="16.149999999999999" customHeight="1">
      <c r="A12" s="106" t="s">
        <v>423</v>
      </c>
      <c r="B12" s="107"/>
    </row>
    <row r="13" spans="1:28" ht="15" customHeight="1">
      <c r="A13" s="55" t="s">
        <v>424</v>
      </c>
      <c r="B13" s="86" t="s">
        <v>44</v>
      </c>
      <c r="C13" s="97">
        <f>IFERROR('Building assets'!B106,Coal_SRMC)</f>
        <v>79.979070000000007</v>
      </c>
      <c r="D13" s="97">
        <f>IFERROR('Building assets'!C106,Coal_SRMC)</f>
        <v>82.991032800000028</v>
      </c>
      <c r="E13" s="97">
        <f>IFERROR('Building assets'!D106,Coal_SRMC)</f>
        <v>86.123474112000025</v>
      </c>
      <c r="F13" s="97">
        <f>IFERROR('Building assets'!E106,Coal_SRMC)</f>
        <v>89.381213076480009</v>
      </c>
      <c r="G13" s="97">
        <f>IFERROR('Building assets'!F106,Coal_SRMC)</f>
        <v>92.76926159953922</v>
      </c>
      <c r="H13" s="97">
        <f>IFERROR('Building assets'!G106,Coal_SRMC)</f>
        <v>96.292832063520819</v>
      </c>
      <c r="I13" s="97">
        <f>IFERROR('Building assets'!H106,Coal_SRMC)</f>
        <v>99.957345346061629</v>
      </c>
      <c r="J13" s="97">
        <f>IFERROR('Building assets'!I106,Coal_SRMC)</f>
        <v>103.76843915990409</v>
      </c>
      <c r="K13" s="97">
        <f>IFERROR('Building assets'!J106,Coal_SRMC)</f>
        <v>107.73197672630027</v>
      </c>
      <c r="L13" s="97">
        <f>IFERROR('Building assets'!K106,Coal_SRMC)</f>
        <v>111.85405579535231</v>
      </c>
      <c r="M13" s="97">
        <f>IFERROR('Building assets'!L106,Coal_SRMC)</f>
        <v>116.14101802716638</v>
      </c>
      <c r="N13" s="97">
        <f>IFERROR('Building assets'!M106,Coal_SRMC)</f>
        <v>120.59945874825303</v>
      </c>
      <c r="O13" s="97">
        <f>IFERROR('Building assets'!N106,Coal_SRMC)</f>
        <v>125.23623709818318</v>
      </c>
      <c r="P13" s="97">
        <f>IFERROR('Building assets'!O106,Coal_SRMC)</f>
        <v>130.0584865821105</v>
      </c>
      <c r="Q13" s="97">
        <f>IFERROR('Building assets'!P106,Coal_SRMC)</f>
        <v>135.07362604539495</v>
      </c>
      <c r="R13" s="97">
        <f>IFERROR('Building assets'!Q106,Coal_SRMC)</f>
        <v>140.28937108721072</v>
      </c>
      <c r="S13" s="97">
        <f>IFERROR('Building assets'!R106,Coal_SRMC)</f>
        <v>145.71374593069919</v>
      </c>
      <c r="T13" s="97">
        <f>IFERROR('Building assets'!S106,Coal_SRMC)</f>
        <v>151.35509576792717</v>
      </c>
      <c r="U13" s="97">
        <f>IFERROR('Building assets'!T106,Coal_SRMC)</f>
        <v>157.22209959864426</v>
      </c>
      <c r="V13" s="97">
        <f>IFERROR('Building assets'!U106,Coal_SRMC)</f>
        <v>163.32378358259004</v>
      </c>
      <c r="W13" s="97">
        <f>IFERROR('Building assets'!V106,Coal_SRMC)</f>
        <v>169.66953492589363</v>
      </c>
      <c r="X13" s="97">
        <f>IFERROR('Building assets'!W106,Coal_SRMC)</f>
        <v>176.26911632292939</v>
      </c>
      <c r="Y13" s="97">
        <f>IFERROR('Building assets'!X106,Coal_SRMC)</f>
        <v>183.1326809758466</v>
      </c>
      <c r="Z13" s="97">
        <f>IFERROR('Building assets'!Y106,Coal_SRMC)</f>
        <v>190.27078821488044</v>
      </c>
      <c r="AA13" s="97">
        <f>IFERROR('Building assets'!Z106,Coal_SRMC)</f>
        <v>197.69441974347566</v>
      </c>
      <c r="AB13" s="97">
        <f>IFERROR('Building assets'!AA106,Coal_SRMC)</f>
        <v>205.41499653321472</v>
      </c>
    </row>
    <row r="14" spans="1:28" ht="15" customHeight="1">
      <c r="A14" s="55" t="s">
        <v>425</v>
      </c>
      <c r="B14" s="86" t="s">
        <v>26</v>
      </c>
      <c r="C14" s="97">
        <f>Coal_Start</f>
        <v>22</v>
      </c>
      <c r="D14" s="97">
        <f t="shared" ref="D14:AB14" si="4">MAX(0,C14*(1-Coal_Accel*MAX(0,(C13-C27)/C13)))</f>
        <v>22</v>
      </c>
      <c r="E14" s="97">
        <f t="shared" si="4"/>
        <v>22</v>
      </c>
      <c r="F14" s="97">
        <f t="shared" si="4"/>
        <v>22</v>
      </c>
      <c r="G14" s="97">
        <f t="shared" si="4"/>
        <v>22</v>
      </c>
      <c r="H14" s="97">
        <f t="shared" si="4"/>
        <v>22</v>
      </c>
      <c r="I14" s="97">
        <f t="shared" si="4"/>
        <v>22</v>
      </c>
      <c r="J14" s="97">
        <f t="shared" si="4"/>
        <v>22</v>
      </c>
      <c r="K14" s="97">
        <f t="shared" si="4"/>
        <v>21.911679600889403</v>
      </c>
      <c r="L14" s="97">
        <f t="shared" si="4"/>
        <v>21.610282102326622</v>
      </c>
      <c r="M14" s="97">
        <f t="shared" si="4"/>
        <v>21.110288524636157</v>
      </c>
      <c r="N14" s="97">
        <f t="shared" si="4"/>
        <v>20.539529267290401</v>
      </c>
      <c r="O14" s="97">
        <f t="shared" si="4"/>
        <v>19.82827264990269</v>
      </c>
      <c r="P14" s="97">
        <f t="shared" si="4"/>
        <v>19.068269243252839</v>
      </c>
      <c r="Q14" s="97">
        <f t="shared" si="4"/>
        <v>18.233307920790516</v>
      </c>
      <c r="R14" s="97">
        <f t="shared" si="4"/>
        <v>17.321378286586771</v>
      </c>
      <c r="S14" s="97">
        <f t="shared" si="4"/>
        <v>16.410630760284249</v>
      </c>
      <c r="T14" s="97">
        <f t="shared" si="4"/>
        <v>15.429501983019318</v>
      </c>
      <c r="U14" s="97">
        <f t="shared" si="4"/>
        <v>14.462570491575605</v>
      </c>
      <c r="V14" s="97">
        <f t="shared" si="4"/>
        <v>13.487846575379162</v>
      </c>
      <c r="W14" s="97">
        <f t="shared" si="4"/>
        <v>12.498094734783942</v>
      </c>
      <c r="X14" s="97">
        <f t="shared" si="4"/>
        <v>11.556433778232812</v>
      </c>
      <c r="Y14" s="97">
        <f t="shared" si="4"/>
        <v>10.605732674706962</v>
      </c>
      <c r="Z14" s="97">
        <f t="shared" si="4"/>
        <v>9.7010186643840868</v>
      </c>
      <c r="AA14" s="97">
        <f t="shared" si="4"/>
        <v>8.8385433543004197</v>
      </c>
      <c r="AB14" s="97">
        <f t="shared" si="4"/>
        <v>8.0227624163454756</v>
      </c>
    </row>
    <row r="15" spans="1:28" ht="15" customHeight="1">
      <c r="A15" s="55" t="s">
        <v>426</v>
      </c>
      <c r="B15" s="86" t="s">
        <v>18</v>
      </c>
      <c r="C15" s="97">
        <f>C14*IFERROR('Building assets'!B110,Coal_CFe)*8.76</f>
        <v>86.724000000000004</v>
      </c>
      <c r="D15" s="97">
        <f>D14*IFERROR('Building assets'!C110,Coal_CFe)*8.76</f>
        <v>85.423140000000004</v>
      </c>
      <c r="E15" s="97">
        <f>E14*IFERROR('Building assets'!D110,Coal_CFe)*8.76</f>
        <v>84.141792899999999</v>
      </c>
      <c r="F15" s="97">
        <f>F14*IFERROR('Building assets'!E110,Coal_CFe)*8.76</f>
        <v>82.879666006500003</v>
      </c>
      <c r="G15" s="97">
        <f>G14*IFERROR('Building assets'!F110,Coal_CFe)*8.76</f>
        <v>81.63647101640251</v>
      </c>
      <c r="H15" s="97">
        <f>H14*IFERROR('Building assets'!G110,Coal_CFe)*8.76</f>
        <v>80.411923951156453</v>
      </c>
      <c r="I15" s="97">
        <f>I14*IFERROR('Building assets'!H110,Coal_CFe)*8.76</f>
        <v>79.205745091889128</v>
      </c>
      <c r="J15" s="97">
        <f>J14*IFERROR('Building assets'!I110,Coal_CFe)*8.76</f>
        <v>78.017658915510793</v>
      </c>
      <c r="K15" s="97">
        <f>K14*IFERROR('Building assets'!J110,Coal_CFe)*8.76</f>
        <v>76.538885281255574</v>
      </c>
      <c r="L15" s="97">
        <f>L14*IFERROR('Building assets'!K110,Coal_CFe)*8.76</f>
        <v>74.353793449888443</v>
      </c>
      <c r="M15" s="97">
        <f>M14*IFERROR('Building assets'!L110,Coal_CFe)*8.76</f>
        <v>71.543979612023023</v>
      </c>
      <c r="N15" s="97">
        <f>N14*IFERROR('Building assets'!M110,Coal_CFe)*8.76</f>
        <v>68.56549906948409</v>
      </c>
      <c r="O15" s="97">
        <f>O14*IFERROR('Building assets'!N110,Coal_CFe)*8.76</f>
        <v>65.1982994035844</v>
      </c>
      <c r="P15" s="97">
        <f>P14*IFERROR('Building assets'!O110,Coal_CFe)*8.76</f>
        <v>61.758806122091606</v>
      </c>
      <c r="Q15" s="97">
        <f>Q14*IFERROR('Building assets'!P110,Coal_CFe)*8.76</f>
        <v>58.168694010039992</v>
      </c>
      <c r="R15" s="97">
        <f>R14*IFERROR('Building assets'!Q110,Coal_CFe)*8.76</f>
        <v>54.430525080542772</v>
      </c>
      <c r="S15" s="97">
        <f>S14*IFERROR('Building assets'!R110,Coal_CFe)*8.76</f>
        <v>50.795072187109206</v>
      </c>
      <c r="T15" s="97">
        <f>T14*IFERROR('Building assets'!S110,Coal_CFe)*8.76</f>
        <v>47.041855874384439</v>
      </c>
      <c r="U15" s="97">
        <f>U14*IFERROR('Building assets'!T110,Coal_CFe)*8.76</f>
        <v>43.432442928214414</v>
      </c>
      <c r="V15" s="97">
        <f>V14*IFERROR('Building assets'!U110,Coal_CFe)*8.76</f>
        <v>39.89767759795096</v>
      </c>
      <c r="W15" s="97">
        <f>W14*IFERROR('Building assets'!V110,Coal_CFe)*8.76</f>
        <v>36.41539642798724</v>
      </c>
      <c r="X15" s="97">
        <f>X14*IFERROR('Building assets'!W110,Coal_CFe)*8.76</f>
        <v>33.166626142986601</v>
      </c>
      <c r="Y15" s="97">
        <f>Y14*IFERROR('Building assets'!X110,Coal_CFe)*8.76</f>
        <v>29.981569719904478</v>
      </c>
      <c r="Z15" s="97">
        <f>Z14*IFERROR('Building assets'!Y110,Coal_CFe)*8.76</f>
        <v>27.012654355502786</v>
      </c>
      <c r="AA15" s="97">
        <f>AA14*IFERROR('Building assets'!Z110,Coal_CFe)*8.76</f>
        <v>24.241910774762609</v>
      </c>
      <c r="AB15" s="97">
        <f>AB14*IFERROR('Building assets'!AA110,Coal_CFe)*8.76</f>
        <v>21.674361557664881</v>
      </c>
    </row>
    <row r="16" spans="1:28" ht="15" customHeight="1">
      <c r="A16" s="55" t="s">
        <v>427</v>
      </c>
      <c r="B16" s="86" t="s">
        <v>26</v>
      </c>
      <c r="C16" s="97">
        <f>C14*IFERROR('Building assets'!B111,Coal_CFp)</f>
        <v>16.5</v>
      </c>
      <c r="D16" s="97">
        <f>D14*IFERROR('Building assets'!C111,Coal_CFp)</f>
        <v>16.252500000000001</v>
      </c>
      <c r="E16" s="97">
        <f>E14*IFERROR('Building assets'!D111,Coal_CFp)</f>
        <v>16.008712499999998</v>
      </c>
      <c r="F16" s="97">
        <f>F14*IFERROR('Building assets'!E111,Coal_CFp)</f>
        <v>15.768581812500001</v>
      </c>
      <c r="G16" s="97">
        <f>G14*IFERROR('Building assets'!F111,Coal_CFp)</f>
        <v>15.5320530853125</v>
      </c>
      <c r="H16" s="97">
        <f>H14*IFERROR('Building assets'!G111,Coal_CFp)</f>
        <v>15.299072289032813</v>
      </c>
      <c r="I16" s="97">
        <f>I14*IFERROR('Building assets'!H111,Coal_CFp)</f>
        <v>15.06958620469732</v>
      </c>
      <c r="J16" s="97">
        <f>J14*IFERROR('Building assets'!I111,Coal_CFp)</f>
        <v>14.84354241162686</v>
      </c>
      <c r="K16" s="97">
        <f>K14*IFERROR('Building assets'!J111,Coal_CFp)</f>
        <v>14.562192785627012</v>
      </c>
      <c r="L16" s="97">
        <f>L14*IFERROR('Building assets'!K111,Coal_CFp)</f>
        <v>14.146459940998561</v>
      </c>
      <c r="M16" s="97">
        <f>M14*IFERROR('Building assets'!L111,Coal_CFp)</f>
        <v>13.611868267127669</v>
      </c>
      <c r="N16" s="97">
        <f>N14*IFERROR('Building assets'!M111,Coal_CFp)</f>
        <v>13.045186276538068</v>
      </c>
      <c r="O16" s="97">
        <f>O14*IFERROR('Building assets'!N111,Coal_CFp)</f>
        <v>12.404547070697182</v>
      </c>
      <c r="P16" s="97">
        <f>P14*IFERROR('Building assets'!O111,Coal_CFp)</f>
        <v>11.750153371783028</v>
      </c>
      <c r="Q16" s="97">
        <f>Q14*IFERROR('Building assets'!P111,Coal_CFp)</f>
        <v>11.067103122153727</v>
      </c>
      <c r="R16" s="97">
        <f>R14*IFERROR('Building assets'!Q111,Coal_CFp)</f>
        <v>10.355883767226555</v>
      </c>
      <c r="S16" s="97">
        <f>S14*IFERROR('Building assets'!R111,Coal_CFp)</f>
        <v>9.6642070371212316</v>
      </c>
      <c r="T16" s="97">
        <f>T14*IFERROR('Building assets'!S111,Coal_CFp)</f>
        <v>8.9501247858417869</v>
      </c>
      <c r="U16" s="97">
        <f>U14*IFERROR('Building assets'!T111,Coal_CFp)</f>
        <v>8.2634023836024362</v>
      </c>
      <c r="V16" s="97">
        <f>V14*IFERROR('Building assets'!U111,Coal_CFp)</f>
        <v>7.5908823435979755</v>
      </c>
      <c r="W16" s="97">
        <f>W14*IFERROR('Building assets'!V111,Coal_CFp)</f>
        <v>6.9283478744267972</v>
      </c>
      <c r="X16" s="97">
        <f>X14*IFERROR('Building assets'!W111,Coal_CFp)</f>
        <v>6.3102408947843607</v>
      </c>
      <c r="Y16" s="97">
        <f>Y14*IFERROR('Building assets'!X111,Coal_CFp)</f>
        <v>5.7042560349894371</v>
      </c>
      <c r="Z16" s="97">
        <f>Z14*IFERROR('Building assets'!Y111,Coal_CFp)</f>
        <v>5.1393939032539544</v>
      </c>
      <c r="AA16" s="97">
        <f>AA14*IFERROR('Building assets'!Z111,Coal_CFp)</f>
        <v>4.6122356877402231</v>
      </c>
      <c r="AB16" s="97">
        <f>AB14*IFERROR('Building assets'!AA111,Coal_CFp)</f>
        <v>4.1237369782467432</v>
      </c>
    </row>
    <row r="17" spans="1:29" ht="16.149999999999999" customHeight="1">
      <c r="A17" s="106" t="s">
        <v>428</v>
      </c>
      <c r="B17" s="107"/>
    </row>
    <row r="18" spans="1:29" ht="15" customHeight="1">
      <c r="A18" s="55" t="s">
        <v>429</v>
      </c>
      <c r="B18" s="86" t="s">
        <v>26</v>
      </c>
      <c r="C18" s="89">
        <f>Firm_Start</f>
        <v>22</v>
      </c>
      <c r="D18" s="89">
        <f t="shared" ref="D18:AB18" si="5">Firm_Start*(1-Firm_Decay)^D2</f>
        <v>22</v>
      </c>
      <c r="E18" s="89">
        <f t="shared" si="5"/>
        <v>22</v>
      </c>
      <c r="F18" s="89">
        <f t="shared" si="5"/>
        <v>22</v>
      </c>
      <c r="G18" s="97">
        <f t="shared" si="5"/>
        <v>22</v>
      </c>
      <c r="H18" s="97">
        <f t="shared" si="5"/>
        <v>22</v>
      </c>
      <c r="I18" s="97">
        <f t="shared" si="5"/>
        <v>22</v>
      </c>
      <c r="J18" s="97">
        <f t="shared" si="5"/>
        <v>22</v>
      </c>
      <c r="K18" s="97">
        <f t="shared" si="5"/>
        <v>22</v>
      </c>
      <c r="L18" s="97">
        <f t="shared" si="5"/>
        <v>22</v>
      </c>
      <c r="M18" s="97">
        <f t="shared" si="5"/>
        <v>22</v>
      </c>
      <c r="N18" s="97">
        <f t="shared" si="5"/>
        <v>22</v>
      </c>
      <c r="O18" s="97">
        <f t="shared" si="5"/>
        <v>22</v>
      </c>
      <c r="P18" s="97">
        <f t="shared" si="5"/>
        <v>22</v>
      </c>
      <c r="Q18" s="97">
        <f t="shared" si="5"/>
        <v>22</v>
      </c>
      <c r="R18" s="97">
        <f t="shared" si="5"/>
        <v>22</v>
      </c>
      <c r="S18" s="97">
        <f t="shared" si="5"/>
        <v>22</v>
      </c>
      <c r="T18" s="97">
        <f t="shared" si="5"/>
        <v>22</v>
      </c>
      <c r="U18" s="97">
        <f t="shared" si="5"/>
        <v>22</v>
      </c>
      <c r="V18" s="97">
        <f t="shared" si="5"/>
        <v>22</v>
      </c>
      <c r="W18" s="97">
        <f t="shared" si="5"/>
        <v>22</v>
      </c>
      <c r="X18" s="97">
        <f t="shared" si="5"/>
        <v>22</v>
      </c>
      <c r="Y18" s="97">
        <f t="shared" si="5"/>
        <v>22</v>
      </c>
      <c r="Z18" s="97">
        <f t="shared" si="5"/>
        <v>22</v>
      </c>
      <c r="AA18" s="97">
        <f t="shared" si="5"/>
        <v>22</v>
      </c>
      <c r="AB18" s="97">
        <f t="shared" si="5"/>
        <v>22</v>
      </c>
    </row>
    <row r="19" spans="1:29" ht="15" customHeight="1">
      <c r="A19" s="55" t="s">
        <v>430</v>
      </c>
      <c r="B19" s="86" t="s">
        <v>26</v>
      </c>
      <c r="C19" s="89">
        <f t="shared" ref="C19:AB19" si="6">C18*Firm_CFp</f>
        <v>19.8</v>
      </c>
      <c r="D19" s="89">
        <f t="shared" si="6"/>
        <v>19.8</v>
      </c>
      <c r="E19" s="89">
        <f t="shared" si="6"/>
        <v>19.8</v>
      </c>
      <c r="F19" s="89">
        <f t="shared" si="6"/>
        <v>19.8</v>
      </c>
      <c r="G19" s="97">
        <f t="shared" si="6"/>
        <v>19.8</v>
      </c>
      <c r="H19" s="97">
        <f t="shared" si="6"/>
        <v>19.8</v>
      </c>
      <c r="I19" s="97">
        <f t="shared" si="6"/>
        <v>19.8</v>
      </c>
      <c r="J19" s="97">
        <f t="shared" si="6"/>
        <v>19.8</v>
      </c>
      <c r="K19" s="97">
        <f t="shared" si="6"/>
        <v>19.8</v>
      </c>
      <c r="L19" s="97">
        <f t="shared" si="6"/>
        <v>19.8</v>
      </c>
      <c r="M19" s="97">
        <f t="shared" si="6"/>
        <v>19.8</v>
      </c>
      <c r="N19" s="97">
        <f t="shared" si="6"/>
        <v>19.8</v>
      </c>
      <c r="O19" s="97">
        <f t="shared" si="6"/>
        <v>19.8</v>
      </c>
      <c r="P19" s="97">
        <f t="shared" si="6"/>
        <v>19.8</v>
      </c>
      <c r="Q19" s="97">
        <f t="shared" si="6"/>
        <v>19.8</v>
      </c>
      <c r="R19" s="97">
        <f t="shared" si="6"/>
        <v>19.8</v>
      </c>
      <c r="S19" s="97">
        <f t="shared" si="6"/>
        <v>19.8</v>
      </c>
      <c r="T19" s="97">
        <f t="shared" si="6"/>
        <v>19.8</v>
      </c>
      <c r="U19" s="97">
        <f t="shared" si="6"/>
        <v>19.8</v>
      </c>
      <c r="V19" s="97">
        <f t="shared" si="6"/>
        <v>19.8</v>
      </c>
      <c r="W19" s="97">
        <f t="shared" si="6"/>
        <v>19.8</v>
      </c>
      <c r="X19" s="97">
        <f t="shared" si="6"/>
        <v>19.8</v>
      </c>
      <c r="Y19" s="97">
        <f t="shared" si="6"/>
        <v>19.8</v>
      </c>
      <c r="Z19" s="97">
        <f t="shared" si="6"/>
        <v>19.8</v>
      </c>
      <c r="AA19" s="97">
        <f t="shared" si="6"/>
        <v>19.8</v>
      </c>
      <c r="AB19" s="97">
        <f t="shared" si="6"/>
        <v>19.8</v>
      </c>
    </row>
    <row r="20" spans="1:29" ht="15" customHeight="1">
      <c r="A20" s="55" t="s">
        <v>431</v>
      </c>
      <c r="B20" s="86" t="s">
        <v>18</v>
      </c>
      <c r="C20" s="89">
        <f t="shared" ref="C20:AB20" si="7">C18*Firm_CFe*8.76</f>
        <v>42.398399999999995</v>
      </c>
      <c r="D20" s="89">
        <f t="shared" si="7"/>
        <v>42.398399999999995</v>
      </c>
      <c r="E20" s="89">
        <f t="shared" si="7"/>
        <v>42.398399999999995</v>
      </c>
      <c r="F20" s="89">
        <f t="shared" si="7"/>
        <v>42.398399999999995</v>
      </c>
      <c r="G20" s="97">
        <f t="shared" si="7"/>
        <v>42.398399999999995</v>
      </c>
      <c r="H20" s="97">
        <f t="shared" si="7"/>
        <v>42.398399999999995</v>
      </c>
      <c r="I20" s="97">
        <f t="shared" si="7"/>
        <v>42.398399999999995</v>
      </c>
      <c r="J20" s="97">
        <f t="shared" si="7"/>
        <v>42.398399999999995</v>
      </c>
      <c r="K20" s="97">
        <f t="shared" si="7"/>
        <v>42.398399999999995</v>
      </c>
      <c r="L20" s="97">
        <f t="shared" si="7"/>
        <v>42.398399999999995</v>
      </c>
      <c r="M20" s="97">
        <f t="shared" si="7"/>
        <v>42.398399999999995</v>
      </c>
      <c r="N20" s="97">
        <f t="shared" si="7"/>
        <v>42.398399999999995</v>
      </c>
      <c r="O20" s="97">
        <f t="shared" si="7"/>
        <v>42.398399999999995</v>
      </c>
      <c r="P20" s="97">
        <f t="shared" si="7"/>
        <v>42.398399999999995</v>
      </c>
      <c r="Q20" s="97">
        <f t="shared" si="7"/>
        <v>42.398399999999995</v>
      </c>
      <c r="R20" s="97">
        <f t="shared" si="7"/>
        <v>42.398399999999995</v>
      </c>
      <c r="S20" s="97">
        <f t="shared" si="7"/>
        <v>42.398399999999995</v>
      </c>
      <c r="T20" s="97">
        <f t="shared" si="7"/>
        <v>42.398399999999995</v>
      </c>
      <c r="U20" s="97">
        <f t="shared" si="7"/>
        <v>42.398399999999995</v>
      </c>
      <c r="V20" s="97">
        <f t="shared" si="7"/>
        <v>42.398399999999995</v>
      </c>
      <c r="W20" s="97">
        <f t="shared" si="7"/>
        <v>42.398399999999995</v>
      </c>
      <c r="X20" s="97">
        <f t="shared" si="7"/>
        <v>42.398399999999995</v>
      </c>
      <c r="Y20" s="97">
        <f t="shared" si="7"/>
        <v>42.398399999999995</v>
      </c>
      <c r="Z20" s="97">
        <f t="shared" si="7"/>
        <v>42.398399999999995</v>
      </c>
      <c r="AA20" s="97">
        <f t="shared" si="7"/>
        <v>42.398399999999995</v>
      </c>
      <c r="AB20" s="97">
        <f t="shared" si="7"/>
        <v>42.398399999999995</v>
      </c>
    </row>
    <row r="21" spans="1:29" ht="16.149999999999999" customHeight="1">
      <c r="A21" s="106" t="s">
        <v>432</v>
      </c>
      <c r="B21" s="107"/>
    </row>
    <row r="22" spans="1:29" ht="15" customHeight="1">
      <c r="A22" s="73" t="s">
        <v>433</v>
      </c>
      <c r="B22" s="84" t="s">
        <v>44</v>
      </c>
      <c r="C22" s="94">
        <f>IFERROR('Building assets'!B78,0)</f>
        <v>112.22813980497169</v>
      </c>
      <c r="D22" s="94">
        <f>'Building assets'!C78/(1-MAX(0,C28))</f>
        <v>105.35894415992087</v>
      </c>
      <c r="E22" s="94">
        <f>'Building assets'!D78/(1-MAX(0,D28))</f>
        <v>101.50142191230249</v>
      </c>
      <c r="F22" s="94">
        <f>'Building assets'!E78/(1-MAX(0,E28))</f>
        <v>97.872067895639759</v>
      </c>
      <c r="G22" s="94">
        <f>'Building assets'!F78/(1-MAX(0,F28))</f>
        <v>95.138253987219144</v>
      </c>
      <c r="H22" s="94">
        <f>'Building assets'!G78/(1-MAX(0,G28))</f>
        <v>91.853256660461781</v>
      </c>
      <c r="I22" s="94">
        <f>'Building assets'!H78/(1-MAX(0,H28))</f>
        <v>88.844945592806397</v>
      </c>
      <c r="J22" s="94">
        <f>'Building assets'!I78/(1-MAX(0,I28))</f>
        <v>86.77536459303272</v>
      </c>
      <c r="K22" s="94">
        <f>'Building assets'!J78/(1-MAX(0,J28))</f>
        <v>84.717967900599149</v>
      </c>
      <c r="L22" s="94">
        <f>'Building assets'!K78/(1-MAX(0,K28))</f>
        <v>83.609140649209451</v>
      </c>
      <c r="M22" s="94">
        <f>'Building assets'!L78/(1-MAX(0,L28))</f>
        <v>82.42139859641054</v>
      </c>
      <c r="N22" s="94">
        <f>'Building assets'!M78/(1-MAX(0,M28))</f>
        <v>81.617483375149831</v>
      </c>
      <c r="O22" s="94">
        <f>'Building assets'!N78/(1-MAX(0,N28))</f>
        <v>81.084066072951671</v>
      </c>
      <c r="P22" s="94">
        <f>'Building assets'!O78/(1-MAX(0,O28))</f>
        <v>80.303330381926656</v>
      </c>
      <c r="Q22" s="94">
        <f>'Building assets'!P78/(1-MAX(0,P28))</f>
        <v>79.871236283269866</v>
      </c>
      <c r="R22" s="94">
        <f>'Building assets'!Q78/(1-MAX(0,Q28))</f>
        <v>79.476180162069113</v>
      </c>
      <c r="S22" s="94">
        <f>'Building assets'!R78/(1-MAX(0,R28))</f>
        <v>79.116979309846897</v>
      </c>
      <c r="T22" s="94">
        <f>'Building assets'!S78/(1-MAX(0,S28))</f>
        <v>79.033770079112514</v>
      </c>
      <c r="U22" s="94">
        <f>'Building assets'!T78/(1-MAX(0,T28))</f>
        <v>78.866960606486174</v>
      </c>
      <c r="V22" s="94">
        <f>'Building assets'!U78/(1-MAX(0,U28))</f>
        <v>78.778221667485937</v>
      </c>
      <c r="W22" s="94">
        <f>'Building assets'!V78/(1-MAX(0,V28))</f>
        <v>78.789538827448993</v>
      </c>
      <c r="X22" s="94">
        <f>'Building assets'!W78/(1-MAX(0,W28))</f>
        <v>78.658402247516719</v>
      </c>
      <c r="Y22" s="94">
        <f>'Building assets'!X78/(1-MAX(0,X28))</f>
        <v>78.859676455312183</v>
      </c>
      <c r="Z22" s="94">
        <f>'Building assets'!Y78/(1-MAX(0,Y28))</f>
        <v>78.728065767046971</v>
      </c>
      <c r="AA22" s="94">
        <f>'Building assets'!Z78/(1-MAX(0,Z28))</f>
        <v>78.71521357372329</v>
      </c>
      <c r="AB22" s="94">
        <f>'Building assets'!AA78/(1-MAX(0,AA28))</f>
        <v>78.824378733195928</v>
      </c>
    </row>
    <row r="23" spans="1:29" ht="15" customHeight="1">
      <c r="A23" s="73" t="s">
        <v>434</v>
      </c>
      <c r="B23" s="84" t="s">
        <v>26</v>
      </c>
      <c r="C23" s="94">
        <f>VRE_Start+VRE_PrePipe+C43+C40</f>
        <v>35</v>
      </c>
      <c r="D23" s="94">
        <f t="shared" ref="D23:AB23" si="8">VRE_Start+VRE_PrePipe*MIN(D2,Lag)+D43+D40</f>
        <v>36.187672502431298</v>
      </c>
      <c r="E23" s="94">
        <f t="shared" si="8"/>
        <v>41.942779512383595</v>
      </c>
      <c r="F23" s="94">
        <f t="shared" si="8"/>
        <v>44.942779512383595</v>
      </c>
      <c r="G23" s="94">
        <f t="shared" si="8"/>
        <v>44.942779512383595</v>
      </c>
      <c r="H23" s="94">
        <f t="shared" si="8"/>
        <v>47.693266367541035</v>
      </c>
      <c r="I23" s="94">
        <f t="shared" si="8"/>
        <v>50.262398664925648</v>
      </c>
      <c r="J23" s="94">
        <f t="shared" si="8"/>
        <v>53.231679466608135</v>
      </c>
      <c r="K23" s="94">
        <f t="shared" si="8"/>
        <v>56.612355322170231</v>
      </c>
      <c r="L23" s="94">
        <f t="shared" si="8"/>
        <v>59.544497652138801</v>
      </c>
      <c r="M23" s="94">
        <f t="shared" si="8"/>
        <v>63.588038981973583</v>
      </c>
      <c r="N23" s="94">
        <f t="shared" si="8"/>
        <v>67.148233639385381</v>
      </c>
      <c r="O23" s="94">
        <f t="shared" si="8"/>
        <v>71.289456907601547</v>
      </c>
      <c r="P23" s="94">
        <f t="shared" si="8"/>
        <v>75.929789587133627</v>
      </c>
      <c r="Q23" s="94">
        <f t="shared" si="8"/>
        <v>79.83992820630364</v>
      </c>
      <c r="R23" s="94">
        <f t="shared" si="8"/>
        <v>85.235312794298366</v>
      </c>
      <c r="S23" s="94">
        <f t="shared" si="8"/>
        <v>89.681119621059054</v>
      </c>
      <c r="T23" s="94">
        <f t="shared" si="8"/>
        <v>94.717674492783431</v>
      </c>
      <c r="U23" s="94">
        <f t="shared" si="8"/>
        <v>100.58914937834034</v>
      </c>
      <c r="V23" s="94">
        <f t="shared" si="8"/>
        <v>105.03199082696966</v>
      </c>
      <c r="W23" s="94">
        <f t="shared" si="8"/>
        <v>111.57808026097388</v>
      </c>
      <c r="X23" s="94">
        <f t="shared" si="8"/>
        <v>117.01733677005362</v>
      </c>
      <c r="Y23" s="94">
        <f t="shared" si="8"/>
        <v>122.48581793850387</v>
      </c>
      <c r="Z23" s="94">
        <f t="shared" si="8"/>
        <v>128.48581793850389</v>
      </c>
      <c r="AA23" s="94">
        <f t="shared" si="8"/>
        <v>134.48581793850389</v>
      </c>
      <c r="AB23" s="94">
        <f t="shared" si="8"/>
        <v>140.48581793850389</v>
      </c>
    </row>
    <row r="24" spans="1:29" ht="15" customHeight="1">
      <c r="A24" s="55" t="s">
        <v>435</v>
      </c>
      <c r="B24" s="86" t="s">
        <v>18</v>
      </c>
      <c r="C24" s="97">
        <f>C23*VRE_CFe*8.76*(1-C28)</f>
        <v>80.605139999999992</v>
      </c>
      <c r="D24" s="97">
        <f t="shared" ref="D24:AB24" si="9">D23*VRE_CFe*8.76*(1-D28)*(1+D7)</f>
        <v>82.540632982832179</v>
      </c>
      <c r="E24" s="97">
        <f t="shared" si="9"/>
        <v>95.673737658876675</v>
      </c>
      <c r="F24" s="97">
        <f t="shared" si="9"/>
        <v>101.60812253917338</v>
      </c>
      <c r="G24" s="97">
        <f t="shared" si="9"/>
        <v>101.32438505263292</v>
      </c>
      <c r="H24" s="97">
        <f t="shared" si="9"/>
        <v>107.7595816992588</v>
      </c>
      <c r="I24" s="97">
        <f t="shared" si="9"/>
        <v>113.23166965881373</v>
      </c>
      <c r="J24" s="97">
        <f t="shared" si="9"/>
        <v>119.67616675548959</v>
      </c>
      <c r="K24" s="97">
        <f t="shared" si="9"/>
        <v>126.94634563407115</v>
      </c>
      <c r="L24" s="97">
        <f t="shared" si="9"/>
        <v>133.12005301773453</v>
      </c>
      <c r="M24" s="97">
        <f t="shared" si="9"/>
        <v>141.86679679364127</v>
      </c>
      <c r="N24" s="97">
        <f t="shared" si="9"/>
        <v>149.26417992986768</v>
      </c>
      <c r="O24" s="97">
        <f t="shared" si="9"/>
        <v>158.0681985820105</v>
      </c>
      <c r="P24" s="97">
        <f t="shared" si="9"/>
        <v>167.80747447130406</v>
      </c>
      <c r="Q24" s="97">
        <f t="shared" si="9"/>
        <v>175.80570769598484</v>
      </c>
      <c r="R24" s="97">
        <f t="shared" si="9"/>
        <v>187.24594038512978</v>
      </c>
      <c r="S24" s="97">
        <f t="shared" si="9"/>
        <v>196.1753146273654</v>
      </c>
      <c r="T24" s="97">
        <f t="shared" si="9"/>
        <v>206.67245869461422</v>
      </c>
      <c r="U24" s="97">
        <f t="shared" si="9"/>
        <v>218.77436997436476</v>
      </c>
      <c r="V24" s="97">
        <f t="shared" si="9"/>
        <v>227.54092974841041</v>
      </c>
      <c r="W24" s="97">
        <f t="shared" si="9"/>
        <v>241.28069839915347</v>
      </c>
      <c r="X24" s="97">
        <f t="shared" si="9"/>
        <v>251.93931247654317</v>
      </c>
      <c r="Y24" s="97">
        <f t="shared" si="9"/>
        <v>263.06546879533687</v>
      </c>
      <c r="Z24" s="97">
        <f t="shared" si="9"/>
        <v>275.26031698264165</v>
      </c>
      <c r="AA24" s="97">
        <f t="shared" si="9"/>
        <v>287.2926085746418</v>
      </c>
      <c r="AB24" s="97">
        <f t="shared" si="9"/>
        <v>299.34219011720404</v>
      </c>
    </row>
    <row r="25" spans="1:29" ht="16.149999999999999" customHeight="1">
      <c r="A25" s="106" t="s">
        <v>436</v>
      </c>
      <c r="B25" s="107"/>
    </row>
    <row r="26" spans="1:29" ht="15" customHeight="1">
      <c r="A26" s="55" t="s">
        <v>437</v>
      </c>
      <c r="B26" s="86" t="s">
        <v>18</v>
      </c>
      <c r="C26" s="97">
        <f t="shared" ref="C26:AB26" si="10">C15+C24+(C18+C44+C50)*Firm_Gen_CF*8.76-C9</f>
        <v>-3.034860000000009</v>
      </c>
      <c r="D26" s="97">
        <f t="shared" si="10"/>
        <v>-6.9002270171677935</v>
      </c>
      <c r="E26" s="97">
        <f t="shared" si="10"/>
        <v>0.33903055887668643</v>
      </c>
      <c r="F26" s="97">
        <f t="shared" si="10"/>
        <v>0.2834760456733818</v>
      </c>
      <c r="G26" s="97">
        <f t="shared" si="10"/>
        <v>-6.0894642434645334</v>
      </c>
      <c r="H26" s="97">
        <f t="shared" si="10"/>
        <v>-5.7514469585661914</v>
      </c>
      <c r="I26" s="97">
        <f t="shared" si="10"/>
        <v>-6.3337635248530262</v>
      </c>
      <c r="J26" s="97">
        <f t="shared" si="10"/>
        <v>-6.1680260843938299</v>
      </c>
      <c r="K26" s="97">
        <f t="shared" si="10"/>
        <v>-5.4177144994888522</v>
      </c>
      <c r="L26" s="97">
        <f t="shared" si="10"/>
        <v>-6.483460927227128</v>
      </c>
      <c r="M26" s="97">
        <f t="shared" si="10"/>
        <v>-5.8964117756141547</v>
      </c>
      <c r="N26" s="97">
        <f t="shared" si="10"/>
        <v>-6.5956585362796147</v>
      </c>
      <c r="O26" s="97">
        <f t="shared" si="10"/>
        <v>-6.6317802969096533</v>
      </c>
      <c r="P26" s="97">
        <f t="shared" si="10"/>
        <v>-5.9449534691503345</v>
      </c>
      <c r="Q26" s="97">
        <f t="shared" si="10"/>
        <v>-6.9511030726834804</v>
      </c>
      <c r="R26" s="97">
        <f t="shared" si="10"/>
        <v>-5.3319144828457183</v>
      </c>
      <c r="S26" s="97">
        <f t="shared" si="10"/>
        <v>-5.8165688855522149</v>
      </c>
      <c r="T26" s="97">
        <f t="shared" si="10"/>
        <v>-5.1116930552038298</v>
      </c>
      <c r="U26" s="97">
        <f t="shared" si="10"/>
        <v>-3.2176950562895286</v>
      </c>
      <c r="V26" s="97">
        <f t="shared" si="10"/>
        <v>-3.9896460919389938</v>
      </c>
      <c r="W26" s="97">
        <f t="shared" si="10"/>
        <v>-0.6990944275174229</v>
      </c>
      <c r="X26" s="97">
        <f t="shared" si="10"/>
        <v>-9.6816700330975891E-2</v>
      </c>
      <c r="Y26" s="97">
        <f t="shared" si="10"/>
        <v>1.2215003098486363</v>
      </c>
      <c r="Z26" s="97">
        <f t="shared" si="10"/>
        <v>2.7363411388705003</v>
      </c>
      <c r="AA26" s="97">
        <f t="shared" si="10"/>
        <v>4.906728716956593</v>
      </c>
      <c r="AB26" s="97">
        <f t="shared" si="10"/>
        <v>6.8551743021144489</v>
      </c>
    </row>
    <row r="27" spans="1:29" ht="15" customHeight="1">
      <c r="A27" s="73" t="s">
        <v>438</v>
      </c>
      <c r="B27" s="84" t="s">
        <v>44</v>
      </c>
      <c r="C27" s="94">
        <f>C22</f>
        <v>112.22813980497169</v>
      </c>
      <c r="D27" s="94">
        <f t="shared" ref="D27:AB27" si="11">D22*EXP(IF(C26&gt;=0,-Surp_Elas,Def_Elas)*ABS(C26/C9))</f>
        <v>114.62600551940098</v>
      </c>
      <c r="E27" s="94">
        <f t="shared" si="11"/>
        <v>122.37264169331294</v>
      </c>
      <c r="F27" s="94">
        <f t="shared" si="11"/>
        <v>97.172739541291449</v>
      </c>
      <c r="G27" s="94">
        <f t="shared" si="11"/>
        <v>94.583350045563321</v>
      </c>
      <c r="H27" s="94">
        <f t="shared" si="11"/>
        <v>107.06492601174099</v>
      </c>
      <c r="I27" s="94">
        <f t="shared" si="11"/>
        <v>102.31940702615158</v>
      </c>
      <c r="J27" s="94">
        <f t="shared" si="11"/>
        <v>100.99120583818092</v>
      </c>
      <c r="K27" s="94">
        <f t="shared" si="11"/>
        <v>97.852877575540276</v>
      </c>
      <c r="L27" s="94">
        <f t="shared" si="11"/>
        <v>94.601061974635812</v>
      </c>
      <c r="M27" s="94">
        <f t="shared" si="11"/>
        <v>95.206972488437572</v>
      </c>
      <c r="N27" s="94">
        <f t="shared" si="11"/>
        <v>92.758131594219719</v>
      </c>
      <c r="O27" s="94">
        <f t="shared" si="11"/>
        <v>93.234805435032371</v>
      </c>
      <c r="P27" s="94">
        <f t="shared" si="11"/>
        <v>92.091815505422062</v>
      </c>
      <c r="Q27" s="94">
        <f t="shared" si="11"/>
        <v>90.036034064367229</v>
      </c>
      <c r="R27" s="94">
        <f t="shared" si="11"/>
        <v>91.113839529134481</v>
      </c>
      <c r="S27" s="94">
        <f t="shared" si="11"/>
        <v>87.635966364512853</v>
      </c>
      <c r="T27" s="94">
        <f t="shared" si="11"/>
        <v>88.121251647077443</v>
      </c>
      <c r="U27" s="94">
        <f t="shared" si="11"/>
        <v>86.5808348605009</v>
      </c>
      <c r="V27" s="94">
        <f t="shared" si="11"/>
        <v>83.424686020729425</v>
      </c>
      <c r="W27" s="94">
        <f t="shared" si="11"/>
        <v>84.445250773612997</v>
      </c>
      <c r="X27" s="94">
        <f t="shared" si="11"/>
        <v>79.596130739562383</v>
      </c>
      <c r="Y27" s="94">
        <f t="shared" si="11"/>
        <v>78.98604801260916</v>
      </c>
      <c r="Z27" s="94">
        <f t="shared" si="11"/>
        <v>77.496475370136565</v>
      </c>
      <c r="AA27" s="94">
        <f t="shared" si="11"/>
        <v>76.048930811696039</v>
      </c>
      <c r="AB27" s="94">
        <f t="shared" si="11"/>
        <v>74.212876360656736</v>
      </c>
      <c r="AC27" s="100">
        <f>AVERAGE(C27:AB27)</f>
        <v>92.877015561865306</v>
      </c>
    </row>
    <row r="28" spans="1:29" ht="15" customHeight="1">
      <c r="A28" s="55" t="s">
        <v>439</v>
      </c>
      <c r="B28" s="86" t="s">
        <v>39</v>
      </c>
      <c r="C28" s="97">
        <f>0</f>
        <v>0</v>
      </c>
      <c r="D28" s="97">
        <f t="shared" ref="D28:AB28" si="12">MAX(0,(C36-Curtail_Thresh)*Curtail_Rate)</f>
        <v>9.5958500000000117E-3</v>
      </c>
      <c r="E28" s="97">
        <f t="shared" si="12"/>
        <v>9.5311056770993607E-3</v>
      </c>
      <c r="F28" s="97">
        <f t="shared" si="12"/>
        <v>1.8311267367738804E-2</v>
      </c>
      <c r="G28" s="97">
        <f t="shared" si="12"/>
        <v>2.1052602278781724E-2</v>
      </c>
      <c r="H28" s="97">
        <f t="shared" si="12"/>
        <v>1.8920643310309553E-2</v>
      </c>
      <c r="I28" s="97">
        <f t="shared" si="12"/>
        <v>2.1794706929914979E-2</v>
      </c>
      <c r="J28" s="97">
        <f t="shared" si="12"/>
        <v>2.3790994895225213E-2</v>
      </c>
      <c r="K28" s="97">
        <f t="shared" si="12"/>
        <v>2.6324398799532873E-2</v>
      </c>
      <c r="L28" s="97">
        <f t="shared" si="12"/>
        <v>2.9250548213681192E-2</v>
      </c>
      <c r="M28" s="97">
        <f t="shared" si="12"/>
        <v>3.1252401642896457E-2</v>
      </c>
      <c r="N28" s="97">
        <f t="shared" si="12"/>
        <v>3.4779995760950901E-2</v>
      </c>
      <c r="O28" s="97">
        <f t="shared" si="12"/>
        <v>3.7225663248873171E-2</v>
      </c>
      <c r="P28" s="97">
        <f t="shared" si="12"/>
        <v>4.0368682745136997E-2</v>
      </c>
      <c r="Q28" s="97">
        <f t="shared" si="12"/>
        <v>4.3867367640429693E-2</v>
      </c>
      <c r="R28" s="97">
        <f t="shared" si="12"/>
        <v>4.611030042189556E-2</v>
      </c>
      <c r="S28" s="97">
        <f t="shared" si="12"/>
        <v>5.0163960411548497E-2</v>
      </c>
      <c r="T28" s="97">
        <f t="shared" si="12"/>
        <v>5.2548719392070807E-2</v>
      </c>
      <c r="U28" s="97">
        <f t="shared" si="12"/>
        <v>5.5611665239626511E-2</v>
      </c>
      <c r="V28" s="97">
        <f t="shared" si="12"/>
        <v>5.9317123220942319E-2</v>
      </c>
      <c r="W28" s="97">
        <f t="shared" si="12"/>
        <v>6.1035865149958943E-2</v>
      </c>
      <c r="X28" s="97">
        <f t="shared" si="12"/>
        <v>6.5130399421407068E-2</v>
      </c>
      <c r="Y28" s="97">
        <f t="shared" si="12"/>
        <v>6.7425909567695549E-2</v>
      </c>
      <c r="Z28" s="97">
        <f t="shared" si="12"/>
        <v>6.9762763712338291E-2</v>
      </c>
      <c r="AA28" s="97">
        <f t="shared" si="12"/>
        <v>7.2415951146765925E-2</v>
      </c>
      <c r="AB28" s="97">
        <f t="shared" si="12"/>
        <v>7.4789068933820577E-2</v>
      </c>
    </row>
    <row r="29" spans="1:29" ht="15" customHeight="1">
      <c r="A29" s="73" t="s">
        <v>440</v>
      </c>
      <c r="B29" s="84" t="s">
        <v>44</v>
      </c>
      <c r="C29" s="94">
        <f>(1/(1+EXP(-Fwd_k*(C26/C9))))*C22+(1-(1/(1+EXP(-Fwd_k*(C26/C9)))))*C27</f>
        <v>112.22813980497169</v>
      </c>
      <c r="D29" s="94">
        <f t="shared" ref="D29:AB29" si="13">(1/(1+EXP(-Fwd_k*(C26/C9))))*D22+(1-(1/(1+EXP(-Fwd_k*(C26/C9)))))*D27</f>
        <v>110.10963416964606</v>
      </c>
      <c r="E29" s="94">
        <f t="shared" si="13"/>
        <v>112.52184995211167</v>
      </c>
      <c r="F29" s="94">
        <f t="shared" si="13"/>
        <v>97.523344004451374</v>
      </c>
      <c r="G29" s="94">
        <f t="shared" si="13"/>
        <v>94.861410642587586</v>
      </c>
      <c r="H29" s="94">
        <f t="shared" si="13"/>
        <v>99.808507866333798</v>
      </c>
      <c r="I29" s="94">
        <f t="shared" si="13"/>
        <v>95.86740833662509</v>
      </c>
      <c r="J29" s="94">
        <f t="shared" si="13"/>
        <v>94.206566264843246</v>
      </c>
      <c r="K29" s="94">
        <f t="shared" si="13"/>
        <v>91.569230604734528</v>
      </c>
      <c r="L29" s="94">
        <f t="shared" si="13"/>
        <v>89.308659630583264</v>
      </c>
      <c r="M29" s="94">
        <f t="shared" si="13"/>
        <v>89.090580595114403</v>
      </c>
      <c r="N29" s="94">
        <f t="shared" si="13"/>
        <v>87.401522550905298</v>
      </c>
      <c r="O29" s="94">
        <f t="shared" si="13"/>
        <v>87.413786594922698</v>
      </c>
      <c r="P29" s="94">
        <f t="shared" si="13"/>
        <v>86.439645831329841</v>
      </c>
      <c r="Q29" s="94">
        <f t="shared" si="13"/>
        <v>85.136209116944144</v>
      </c>
      <c r="R29" s="94">
        <f t="shared" si="13"/>
        <v>85.533423326802819</v>
      </c>
      <c r="S29" s="94">
        <f t="shared" si="13"/>
        <v>83.507109683116539</v>
      </c>
      <c r="T29" s="94">
        <f t="shared" si="13"/>
        <v>83.725818335051187</v>
      </c>
      <c r="U29" s="94">
        <f t="shared" si="13"/>
        <v>82.83184382853122</v>
      </c>
      <c r="V29" s="94">
        <f t="shared" si="13"/>
        <v>81.141391621155989</v>
      </c>
      <c r="W29" s="94">
        <f t="shared" si="13"/>
        <v>81.676197107394685</v>
      </c>
      <c r="X29" s="94">
        <f t="shared" si="13"/>
        <v>79.128933443537392</v>
      </c>
      <c r="Y29" s="94">
        <f t="shared" si="13"/>
        <v>78.922892585950365</v>
      </c>
      <c r="Z29" s="94">
        <f t="shared" si="13"/>
        <v>78.115911550610022</v>
      </c>
      <c r="AA29" s="94">
        <f t="shared" si="13"/>
        <v>77.399298497466205</v>
      </c>
      <c r="AB29" s="94">
        <f t="shared" si="13"/>
        <v>76.570744197563215</v>
      </c>
    </row>
    <row r="30" spans="1:29" ht="15" customHeight="1">
      <c r="A30" s="55" t="s">
        <v>441</v>
      </c>
      <c r="B30" s="86" t="s">
        <v>26</v>
      </c>
      <c r="C30" s="97">
        <f>C16+C19+C44*Firm_CFp+C23*VRE_ELCC+Other_Firm-C11</f>
        <v>3.5348714999999942</v>
      </c>
      <c r="D30" s="97">
        <f t="shared" ref="D30:AB30" si="14">D16+D19+C44*Firm_CFp+C50*Firm_CFp+D23*VRE_ELCC+Other_Firm-D11</f>
        <v>2.6771420122699681</v>
      </c>
      <c r="E30" s="97">
        <f t="shared" si="14"/>
        <v>2.2308697021541022</v>
      </c>
      <c r="F30" s="97">
        <f t="shared" si="14"/>
        <v>1.5189257146541024</v>
      </c>
      <c r="G30" s="97">
        <f t="shared" si="14"/>
        <v>0.51832722746660664</v>
      </c>
      <c r="H30" s="97">
        <f t="shared" si="14"/>
        <v>-0.2397912514738465</v>
      </c>
      <c r="I30" s="97">
        <f t="shared" si="14"/>
        <v>-0.83253280474698244</v>
      </c>
      <c r="J30" s="97">
        <f t="shared" si="14"/>
        <v>-1.0954343089994723</v>
      </c>
      <c r="K30" s="97">
        <f t="shared" si="14"/>
        <v>-1.6284743944274709</v>
      </c>
      <c r="L30" s="97">
        <f t="shared" si="14"/>
        <v>-1.9839382808836703</v>
      </c>
      <c r="M30" s="97">
        <f t="shared" si="14"/>
        <v>-2.1248938132436166</v>
      </c>
      <c r="N30" s="97">
        <f t="shared" si="14"/>
        <v>-2.6854013325387029</v>
      </c>
      <c r="O30" s="97">
        <f t="shared" si="14"/>
        <v>-2.5188649600140138</v>
      </c>
      <c r="P30" s="97">
        <f t="shared" si="14"/>
        <v>-2.7709709878958719</v>
      </c>
      <c r="Q30" s="97">
        <f t="shared" si="14"/>
        <v>-3.121878780862545</v>
      </c>
      <c r="R30" s="97">
        <f t="shared" si="14"/>
        <v>-2.6631625278721529</v>
      </c>
      <c r="S30" s="97">
        <f t="shared" si="14"/>
        <v>-3.3468508857251251</v>
      </c>
      <c r="T30" s="97">
        <f t="shared" si="14"/>
        <v>-3.0658234401973985</v>
      </c>
      <c r="U30" s="97">
        <f t="shared" si="14"/>
        <v>-2.9004669204540861</v>
      </c>
      <c r="V30" s="97">
        <f t="shared" si="14"/>
        <v>-3.6794995191684094</v>
      </c>
      <c r="W30" s="97">
        <f t="shared" si="14"/>
        <v>-2.7008778433246974</v>
      </c>
      <c r="X30" s="97">
        <f t="shared" si="14"/>
        <v>-3.4197263617548188</v>
      </c>
      <c r="Y30" s="97">
        <f t="shared" si="14"/>
        <v>-3.4481262405086923</v>
      </c>
      <c r="Z30" s="97">
        <f t="shared" si="14"/>
        <v>-2.6496221873108681</v>
      </c>
      <c r="AA30" s="97">
        <f t="shared" si="14"/>
        <v>-3.6836684143521126</v>
      </c>
      <c r="AB30" s="97">
        <f t="shared" si="14"/>
        <v>-3.0299645198425438</v>
      </c>
    </row>
    <row r="31" spans="1:29" ht="15" customHeight="1">
      <c r="A31" s="55" t="s">
        <v>442</v>
      </c>
      <c r="B31" s="86" t="s">
        <v>39</v>
      </c>
      <c r="C31" s="97">
        <f t="shared" ref="C31:AB31" si="15">MAX(0,-C30/C11)</f>
        <v>0</v>
      </c>
      <c r="D31" s="97">
        <f t="shared" si="15"/>
        <v>0</v>
      </c>
      <c r="E31" s="97">
        <f t="shared" si="15"/>
        <v>0</v>
      </c>
      <c r="F31" s="97">
        <f t="shared" si="15"/>
        <v>0</v>
      </c>
      <c r="G31" s="97">
        <f t="shared" si="15"/>
        <v>0</v>
      </c>
      <c r="H31" s="97">
        <f t="shared" si="15"/>
        <v>6.0329534552093335E-3</v>
      </c>
      <c r="I31" s="97">
        <f t="shared" si="15"/>
        <v>2.0535147370736809E-2</v>
      </c>
      <c r="J31" s="97">
        <f t="shared" si="15"/>
        <v>2.6490041325066386E-2</v>
      </c>
      <c r="K31" s="97">
        <f t="shared" si="15"/>
        <v>3.8607978204819288E-2</v>
      </c>
      <c r="L31" s="97">
        <f t="shared" si="15"/>
        <v>4.6113077880437787E-2</v>
      </c>
      <c r="M31" s="97">
        <f t="shared" si="15"/>
        <v>4.8420917419712127E-2</v>
      </c>
      <c r="N31" s="97">
        <f t="shared" si="15"/>
        <v>5.9993584358131867E-2</v>
      </c>
      <c r="O31" s="97">
        <f t="shared" si="15"/>
        <v>5.5169661977300326E-2</v>
      </c>
      <c r="P31" s="97">
        <f t="shared" si="15"/>
        <v>5.9501408324908925E-2</v>
      </c>
      <c r="Q31" s="97">
        <f t="shared" si="15"/>
        <v>6.5722054383551679E-2</v>
      </c>
      <c r="R31" s="97">
        <f t="shared" si="15"/>
        <v>5.4965805182290842E-2</v>
      </c>
      <c r="S31" s="97">
        <f t="shared" si="15"/>
        <v>6.7722208800895703E-2</v>
      </c>
      <c r="T31" s="97">
        <f t="shared" si="15"/>
        <v>6.0819342336567744E-2</v>
      </c>
      <c r="U31" s="97">
        <f t="shared" si="15"/>
        <v>5.6410808503711093E-2</v>
      </c>
      <c r="V31" s="97">
        <f t="shared" si="15"/>
        <v>7.0158934736581288E-2</v>
      </c>
      <c r="W31" s="97">
        <f t="shared" si="15"/>
        <v>5.0489260077339934E-2</v>
      </c>
      <c r="X31" s="97">
        <f t="shared" si="15"/>
        <v>6.2673687596266583E-2</v>
      </c>
      <c r="Y31" s="97">
        <f t="shared" si="15"/>
        <v>6.1955073710966133E-2</v>
      </c>
      <c r="Z31" s="97">
        <f t="shared" si="15"/>
        <v>4.6674266381836214E-2</v>
      </c>
      <c r="AA31" s="97">
        <f t="shared" si="15"/>
        <v>6.3617105767897808E-2</v>
      </c>
      <c r="AB31" s="97">
        <f t="shared" si="15"/>
        <v>5.1301580873595154E-2</v>
      </c>
    </row>
    <row r="32" spans="1:29" ht="15" customHeight="1">
      <c r="A32" s="73" t="s">
        <v>443</v>
      </c>
      <c r="B32" s="84" t="s">
        <v>44</v>
      </c>
      <c r="C32" s="94">
        <f t="shared" ref="C32:AB32" si="16">Firm_SRMC*EXP(Firm_Tight*C31)</f>
        <v>180</v>
      </c>
      <c r="D32" s="95">
        <f t="shared" si="16"/>
        <v>180</v>
      </c>
      <c r="E32" s="95">
        <f t="shared" si="16"/>
        <v>180</v>
      </c>
      <c r="F32" s="95">
        <f t="shared" si="16"/>
        <v>180</v>
      </c>
      <c r="G32" s="95">
        <f t="shared" si="16"/>
        <v>180</v>
      </c>
      <c r="H32" s="95">
        <f t="shared" si="16"/>
        <v>183.84117177838465</v>
      </c>
      <c r="I32" s="95">
        <f t="shared" si="16"/>
        <v>193.41339992569897</v>
      </c>
      <c r="J32" s="95">
        <f t="shared" si="16"/>
        <v>197.486849147241</v>
      </c>
      <c r="K32" s="95">
        <f t="shared" si="16"/>
        <v>206.0429772809039</v>
      </c>
      <c r="L32" s="95">
        <f t="shared" si="16"/>
        <v>211.52699440695795</v>
      </c>
      <c r="M32" s="95">
        <f t="shared" si="16"/>
        <v>213.24250982923618</v>
      </c>
      <c r="N32" s="95">
        <f t="shared" si="16"/>
        <v>222.05706450113058</v>
      </c>
      <c r="O32" s="95">
        <f t="shared" si="16"/>
        <v>218.3393858014129</v>
      </c>
      <c r="P32" s="95">
        <f t="shared" si="16"/>
        <v>221.67487470075122</v>
      </c>
      <c r="Q32" s="95">
        <f t="shared" si="16"/>
        <v>226.55416178879756</v>
      </c>
      <c r="R32" s="95">
        <f t="shared" si="16"/>
        <v>218.1836564784123</v>
      </c>
      <c r="S32" s="95">
        <f t="shared" si="16"/>
        <v>228.14572777609317</v>
      </c>
      <c r="T32" s="95">
        <f t="shared" si="16"/>
        <v>222.69977168916282</v>
      </c>
      <c r="U32" s="95">
        <f t="shared" si="16"/>
        <v>219.28991796455932</v>
      </c>
      <c r="V32" s="95">
        <f t="shared" si="16"/>
        <v>230.09979876082335</v>
      </c>
      <c r="W32" s="95">
        <f t="shared" si="16"/>
        <v>214.79181595933872</v>
      </c>
      <c r="X32" s="95">
        <f t="shared" si="16"/>
        <v>224.14984015324399</v>
      </c>
      <c r="Y32" s="95">
        <f t="shared" si="16"/>
        <v>223.58677838575079</v>
      </c>
      <c r="Z32" s="95">
        <f t="shared" si="16"/>
        <v>211.94287551120667</v>
      </c>
      <c r="AA32" s="95">
        <f t="shared" si="16"/>
        <v>224.89119806136563</v>
      </c>
      <c r="AB32" s="95">
        <f t="shared" si="16"/>
        <v>215.40336440744849</v>
      </c>
    </row>
    <row r="33" spans="1:28" ht="16.149999999999999" customHeight="1">
      <c r="A33" s="106" t="s">
        <v>444</v>
      </c>
      <c r="B33" s="107"/>
    </row>
    <row r="34" spans="1:28" ht="15" customHeight="1">
      <c r="A34" s="55" t="s">
        <v>445</v>
      </c>
      <c r="B34" s="86" t="s">
        <v>39</v>
      </c>
      <c r="C34" s="97">
        <f t="shared" ref="C34:AB34" si="17">VRE_Share0+(VRE_ShareT-VRE_Share0)/25*C2</f>
        <v>0.3838339999999999</v>
      </c>
      <c r="D34" s="97">
        <f t="shared" si="17"/>
        <v>0.40848063999999989</v>
      </c>
      <c r="E34" s="97">
        <f t="shared" si="17"/>
        <v>0.43312727999999989</v>
      </c>
      <c r="F34" s="97">
        <f t="shared" si="17"/>
        <v>0.45777391999999995</v>
      </c>
      <c r="G34" s="97">
        <f t="shared" si="17"/>
        <v>0.48242055999999989</v>
      </c>
      <c r="H34" s="97">
        <f t="shared" si="17"/>
        <v>0.50706719999999994</v>
      </c>
      <c r="I34" s="97">
        <f t="shared" si="17"/>
        <v>0.53171383999999988</v>
      </c>
      <c r="J34" s="97">
        <f t="shared" si="17"/>
        <v>0.55636047999999994</v>
      </c>
      <c r="K34" s="97">
        <f t="shared" si="17"/>
        <v>0.58100711999999999</v>
      </c>
      <c r="L34" s="97">
        <f t="shared" si="17"/>
        <v>0.60565375999999993</v>
      </c>
      <c r="M34" s="97">
        <f t="shared" si="17"/>
        <v>0.63030039999999987</v>
      </c>
      <c r="N34" s="97">
        <f t="shared" si="17"/>
        <v>0.65494703999999992</v>
      </c>
      <c r="O34" s="97">
        <f t="shared" si="17"/>
        <v>0.67959367999999998</v>
      </c>
      <c r="P34" s="97">
        <f t="shared" si="17"/>
        <v>0.70424032000000003</v>
      </c>
      <c r="Q34" s="97">
        <f t="shared" si="17"/>
        <v>0.72888695999999997</v>
      </c>
      <c r="R34" s="97">
        <f t="shared" si="17"/>
        <v>0.75353359999999991</v>
      </c>
      <c r="S34" s="97">
        <f t="shared" si="17"/>
        <v>0.77818023999999997</v>
      </c>
      <c r="T34" s="97">
        <f t="shared" si="17"/>
        <v>0.80282688000000002</v>
      </c>
      <c r="U34" s="97">
        <f t="shared" si="17"/>
        <v>0.82747351999999996</v>
      </c>
      <c r="V34" s="97">
        <f t="shared" si="17"/>
        <v>0.8521201599999999</v>
      </c>
      <c r="W34" s="97">
        <f t="shared" si="17"/>
        <v>0.87676679999999996</v>
      </c>
      <c r="X34" s="97">
        <f t="shared" si="17"/>
        <v>0.90141344000000001</v>
      </c>
      <c r="Y34" s="97">
        <f t="shared" si="17"/>
        <v>0.92606007999999995</v>
      </c>
      <c r="Z34" s="97">
        <f t="shared" si="17"/>
        <v>0.95070672000000001</v>
      </c>
      <c r="AA34" s="97">
        <f t="shared" si="17"/>
        <v>0.97535336000000006</v>
      </c>
      <c r="AB34" s="97">
        <f t="shared" si="17"/>
        <v>1</v>
      </c>
    </row>
    <row r="35" spans="1:28" ht="15" customHeight="1">
      <c r="A35" s="55" t="s">
        <v>446</v>
      </c>
      <c r="B35" s="86" t="s">
        <v>26</v>
      </c>
      <c r="C35" s="97">
        <f t="shared" ref="C35:AB35" si="18">C34*C9/(VRE_CFe*8.76*MAX(1-C28,0.01))</f>
        <v>30</v>
      </c>
      <c r="D35" s="97">
        <f t="shared" si="18"/>
        <v>33.041572254206649</v>
      </c>
      <c r="E35" s="97">
        <f t="shared" si="18"/>
        <v>35.908746134476637</v>
      </c>
      <c r="F35" s="97">
        <f t="shared" si="18"/>
        <v>39.248824059745175</v>
      </c>
      <c r="G35" s="97">
        <f t="shared" si="18"/>
        <v>42.514759492634198</v>
      </c>
      <c r="H35" s="97">
        <f t="shared" si="18"/>
        <v>45.704453566073035</v>
      </c>
      <c r="I35" s="97">
        <f t="shared" si="18"/>
        <v>49.268457032660415</v>
      </c>
      <c r="J35" s="97">
        <f t="shared" si="18"/>
        <v>52.949069713774882</v>
      </c>
      <c r="K35" s="97">
        <f t="shared" si="18"/>
        <v>56.824536641296177</v>
      </c>
      <c r="L35" s="97">
        <f t="shared" si="18"/>
        <v>60.898958470053451</v>
      </c>
      <c r="M35" s="97">
        <f t="shared" si="18"/>
        <v>65.095866246450981</v>
      </c>
      <c r="N35" s="97">
        <f t="shared" si="18"/>
        <v>69.585732260230458</v>
      </c>
      <c r="O35" s="97">
        <f t="shared" si="18"/>
        <v>74.197457470740545</v>
      </c>
      <c r="P35" s="97">
        <f t="shared" si="18"/>
        <v>79.068688725979172</v>
      </c>
      <c r="Q35" s="97">
        <f t="shared" si="18"/>
        <v>84.188731952789752</v>
      </c>
      <c r="R35" s="97">
        <f t="shared" si="18"/>
        <v>89.421151231047659</v>
      </c>
      <c r="S35" s="97">
        <f t="shared" si="18"/>
        <v>95.058556235304394</v>
      </c>
      <c r="T35" s="97">
        <f t="shared" si="18"/>
        <v>100.77401045905334</v>
      </c>
      <c r="U35" s="97">
        <f t="shared" si="18"/>
        <v>106.80974561401206</v>
      </c>
      <c r="V35" s="97">
        <f t="shared" si="18"/>
        <v>113.18499522633751</v>
      </c>
      <c r="W35" s="97">
        <f t="shared" si="18"/>
        <v>119.58871873124491</v>
      </c>
      <c r="X35" s="97">
        <f t="shared" si="18"/>
        <v>126.57617779527806</v>
      </c>
      <c r="Y35" s="97">
        <f t="shared" si="18"/>
        <v>133.61606247993669</v>
      </c>
      <c r="Z35" s="97">
        <f t="shared" si="18"/>
        <v>140.95469972111763</v>
      </c>
      <c r="AA35" s="97">
        <f t="shared" si="18"/>
        <v>148.64807687976082</v>
      </c>
      <c r="AB35" s="97">
        <f t="shared" si="18"/>
        <v>156.61512175531632</v>
      </c>
    </row>
    <row r="36" spans="1:28" ht="15" customHeight="1">
      <c r="A36" s="55" t="s">
        <v>447</v>
      </c>
      <c r="B36" s="86" t="s">
        <v>39</v>
      </c>
      <c r="C36" s="97">
        <f>C24/C9</f>
        <v>0.44780633333333331</v>
      </c>
      <c r="D36" s="97">
        <f t="shared" ref="D36:AB36" si="19">IF(D9&gt;0,D24/D9,0)</f>
        <v>0.44737470451399564</v>
      </c>
      <c r="E36" s="97">
        <f t="shared" si="19"/>
        <v>0.50590911578492526</v>
      </c>
      <c r="F36" s="97">
        <f t="shared" si="19"/>
        <v>0.52418468185854472</v>
      </c>
      <c r="G36" s="97">
        <f t="shared" si="19"/>
        <v>0.50997162206873026</v>
      </c>
      <c r="H36" s="97">
        <f t="shared" si="19"/>
        <v>0.5291320461994331</v>
      </c>
      <c r="I36" s="97">
        <f t="shared" si="19"/>
        <v>0.54244063263483466</v>
      </c>
      <c r="J36" s="97">
        <f t="shared" si="19"/>
        <v>0.55932999199688571</v>
      </c>
      <c r="K36" s="97">
        <f t="shared" si="19"/>
        <v>0.57883765475787452</v>
      </c>
      <c r="L36" s="97">
        <f t="shared" si="19"/>
        <v>0.5921833442859763</v>
      </c>
      <c r="M36" s="97">
        <f t="shared" si="19"/>
        <v>0.61570063840633926</v>
      </c>
      <c r="N36" s="97">
        <f t="shared" si="19"/>
        <v>0.63200508832582103</v>
      </c>
      <c r="O36" s="97">
        <f t="shared" si="19"/>
        <v>0.65295855163424654</v>
      </c>
      <c r="P36" s="97">
        <f t="shared" si="19"/>
        <v>0.67628311760286453</v>
      </c>
      <c r="Q36" s="97">
        <f t="shared" si="19"/>
        <v>0.69123600281263697</v>
      </c>
      <c r="R36" s="97">
        <f t="shared" si="19"/>
        <v>0.71826040274365655</v>
      </c>
      <c r="S36" s="97">
        <f t="shared" si="19"/>
        <v>0.73415879594713862</v>
      </c>
      <c r="T36" s="97">
        <f t="shared" si="19"/>
        <v>0.75457843493084331</v>
      </c>
      <c r="U36" s="97">
        <f t="shared" si="19"/>
        <v>0.7792814881396154</v>
      </c>
      <c r="V36" s="97">
        <f t="shared" si="19"/>
        <v>0.79073976766639287</v>
      </c>
      <c r="W36" s="97">
        <f t="shared" si="19"/>
        <v>0.81803666280938037</v>
      </c>
      <c r="X36" s="97">
        <f t="shared" si="19"/>
        <v>0.83334006378463688</v>
      </c>
      <c r="Y36" s="97">
        <f t="shared" si="19"/>
        <v>0.84891909141558852</v>
      </c>
      <c r="Z36" s="97">
        <f t="shared" si="19"/>
        <v>0.86660700764510612</v>
      </c>
      <c r="AA36" s="97">
        <f t="shared" si="19"/>
        <v>0.88242779289213713</v>
      </c>
      <c r="AB36" s="97">
        <f t="shared" si="19"/>
        <v>0.89701311319087274</v>
      </c>
    </row>
    <row r="37" spans="1:28" ht="15" customHeight="1">
      <c r="A37" s="55" t="s">
        <v>448</v>
      </c>
      <c r="B37" s="86" t="s">
        <v>371</v>
      </c>
      <c r="C37" s="97">
        <v>2</v>
      </c>
      <c r="D37" s="97">
        <f t="shared" ref="D37:AB37" si="20">MAX(0,(D29-D22)/VRE_Sprd)</f>
        <v>1.1876725024312975</v>
      </c>
      <c r="E37" s="97">
        <f t="shared" si="20"/>
        <v>2.7551070099522939</v>
      </c>
      <c r="F37" s="97">
        <f t="shared" si="20"/>
        <v>0</v>
      </c>
      <c r="G37" s="97">
        <f t="shared" si="20"/>
        <v>0</v>
      </c>
      <c r="H37" s="97">
        <f t="shared" si="20"/>
        <v>1.9888128014680042</v>
      </c>
      <c r="I37" s="97">
        <f t="shared" si="20"/>
        <v>1.7556156859546732</v>
      </c>
      <c r="J37" s="97">
        <f t="shared" si="20"/>
        <v>1.8578004179526317</v>
      </c>
      <c r="K37" s="97">
        <f t="shared" si="20"/>
        <v>1.7128156760338449</v>
      </c>
      <c r="L37" s="97">
        <f t="shared" si="20"/>
        <v>1.4248797453434534</v>
      </c>
      <c r="M37" s="97">
        <f t="shared" si="20"/>
        <v>1.6672954996759657</v>
      </c>
      <c r="N37" s="97">
        <f t="shared" si="20"/>
        <v>1.4460097939388667</v>
      </c>
      <c r="O37" s="97">
        <f t="shared" si="20"/>
        <v>1.5824301304927566</v>
      </c>
      <c r="P37" s="97">
        <f t="shared" si="20"/>
        <v>1.5340788623507962</v>
      </c>
      <c r="Q37" s="97">
        <f t="shared" si="20"/>
        <v>1.3162432084185696</v>
      </c>
      <c r="R37" s="97">
        <f t="shared" si="20"/>
        <v>1.5143107911834264</v>
      </c>
      <c r="S37" s="97">
        <f t="shared" si="20"/>
        <v>1.0975325933174105</v>
      </c>
      <c r="T37" s="97">
        <f t="shared" si="20"/>
        <v>1.1730120639846682</v>
      </c>
      <c r="U37" s="97">
        <f t="shared" si="20"/>
        <v>0.99122080551126146</v>
      </c>
      <c r="V37" s="97">
        <f t="shared" si="20"/>
        <v>0.59079248841751308</v>
      </c>
      <c r="W37" s="97">
        <f t="shared" si="20"/>
        <v>0.72166456998642303</v>
      </c>
      <c r="X37" s="97">
        <f t="shared" si="20"/>
        <v>0.11763279900516821</v>
      </c>
      <c r="Y37" s="97">
        <f t="shared" si="20"/>
        <v>1.5804032659545442E-2</v>
      </c>
      <c r="Z37" s="97">
        <f t="shared" si="20"/>
        <v>0</v>
      </c>
      <c r="AA37" s="97">
        <f t="shared" si="20"/>
        <v>0</v>
      </c>
      <c r="AB37" s="97">
        <f t="shared" si="20"/>
        <v>0</v>
      </c>
    </row>
    <row r="38" spans="1:28" ht="15" customHeight="1">
      <c r="A38" s="55" t="s">
        <v>449</v>
      </c>
      <c r="B38" s="86" t="s">
        <v>371</v>
      </c>
      <c r="C38" s="97">
        <f>IF(ESEM_On*(C2&gt;=ESEM_Start),MAX(0,(C35-B23)),0)</f>
        <v>0</v>
      </c>
      <c r="D38" s="97">
        <f>IF(ESEM_On*(D2&gt;=ESEM_Start),MAX(0,(D35-C23)),0)</f>
        <v>0</v>
      </c>
      <c r="E38" s="97">
        <f>IF(ESEM_On*(E2&gt;=ESEM_Start),MAX(0,(E35-D23)),0)</f>
        <v>0</v>
      </c>
      <c r="F38" s="97">
        <f>IF(ESEM_On*(F2&gt;=ESEM_Start),MAX(0,(F35-E23-(E43-C43))*RE_Cov),0)</f>
        <v>0</v>
      </c>
      <c r="G38" s="97">
        <f t="shared" ref="G38:AB38" si="21">IF(ESEM_On*(G2&gt;=ESEM_Start),MIN(MAX(0,(G35-F23-(F43-D43))), ESEM_Build_Cap),0)</f>
        <v>0</v>
      </c>
      <c r="H38" s="97">
        <f t="shared" si="21"/>
        <v>0.76167405368943975</v>
      </c>
      <c r="I38" s="97">
        <f t="shared" si="21"/>
        <v>0.81351661142993947</v>
      </c>
      <c r="J38" s="97">
        <f t="shared" si="21"/>
        <v>1.1114803837298552</v>
      </c>
      <c r="K38" s="97">
        <f t="shared" si="21"/>
        <v>1.6678601795282475</v>
      </c>
      <c r="L38" s="97">
        <f t="shared" si="21"/>
        <v>1.5072625846251171</v>
      </c>
      <c r="M38" s="97">
        <f t="shared" si="21"/>
        <v>2.3762458301588154</v>
      </c>
      <c r="N38" s="97">
        <f t="shared" si="21"/>
        <v>2.1141848634729428</v>
      </c>
      <c r="O38" s="97">
        <f t="shared" si="21"/>
        <v>2.5587931377234057</v>
      </c>
      <c r="P38" s="97">
        <f t="shared" si="21"/>
        <v>3.1062538171812761</v>
      </c>
      <c r="Q38" s="97">
        <f t="shared" si="21"/>
        <v>2.5938954107514434</v>
      </c>
      <c r="R38" s="97">
        <f t="shared" si="21"/>
        <v>3.8810737968113003</v>
      </c>
      <c r="S38" s="97">
        <f t="shared" si="21"/>
        <v>3.3482742334432842</v>
      </c>
      <c r="T38" s="97">
        <f t="shared" si="21"/>
        <v>3.8635428077397052</v>
      </c>
      <c r="U38" s="97">
        <f t="shared" si="21"/>
        <v>4.8802540800456384</v>
      </c>
      <c r="V38" s="97">
        <f t="shared" si="21"/>
        <v>3.8520489602118246</v>
      </c>
      <c r="W38" s="97">
        <f t="shared" si="21"/>
        <v>5.8244248640177858</v>
      </c>
      <c r="X38" s="97">
        <f t="shared" si="21"/>
        <v>5.3216237100745687</v>
      </c>
      <c r="Y38" s="97">
        <f t="shared" si="21"/>
        <v>5.4526771357907151</v>
      </c>
      <c r="Z38" s="97">
        <f t="shared" si="21"/>
        <v>6</v>
      </c>
      <c r="AA38" s="97">
        <f t="shared" si="21"/>
        <v>6</v>
      </c>
      <c r="AB38" s="97">
        <f t="shared" si="21"/>
        <v>6</v>
      </c>
    </row>
    <row r="39" spans="1:28" ht="15" customHeight="1">
      <c r="A39" s="55" t="s">
        <v>450</v>
      </c>
      <c r="B39" s="86" t="s">
        <v>26</v>
      </c>
      <c r="C39" s="97">
        <f>MAX(0,C11-(C16+C19+C23*VRE_ELCC+Other_Firm))</f>
        <v>0</v>
      </c>
      <c r="D39" s="97">
        <f t="shared" ref="D39:AB39" si="22">MAX(0,D11-(D16+D19+C44*Firm_CFp+C50*Firm_CFp+D23*VRE_ELCC+Other_Firm))</f>
        <v>0</v>
      </c>
      <c r="E39" s="97">
        <f t="shared" si="22"/>
        <v>0</v>
      </c>
      <c r="F39" s="97">
        <f t="shared" si="22"/>
        <v>0</v>
      </c>
      <c r="G39" s="97">
        <f t="shared" si="22"/>
        <v>0</v>
      </c>
      <c r="H39" s="97">
        <f t="shared" si="22"/>
        <v>0.2397912514738465</v>
      </c>
      <c r="I39" s="97">
        <f t="shared" si="22"/>
        <v>0.83253280474698244</v>
      </c>
      <c r="J39" s="97">
        <f t="shared" si="22"/>
        <v>1.0954343089994723</v>
      </c>
      <c r="K39" s="97">
        <f t="shared" si="22"/>
        <v>1.6284743944274709</v>
      </c>
      <c r="L39" s="97">
        <f t="shared" si="22"/>
        <v>1.9839382808836703</v>
      </c>
      <c r="M39" s="97">
        <f t="shared" si="22"/>
        <v>2.1248938132436166</v>
      </c>
      <c r="N39" s="97">
        <f t="shared" si="22"/>
        <v>2.6854013325387029</v>
      </c>
      <c r="O39" s="97">
        <f t="shared" si="22"/>
        <v>2.5188649600140138</v>
      </c>
      <c r="P39" s="97">
        <f t="shared" si="22"/>
        <v>2.7709709878958719</v>
      </c>
      <c r="Q39" s="97">
        <f t="shared" si="22"/>
        <v>3.121878780862545</v>
      </c>
      <c r="R39" s="97">
        <f t="shared" si="22"/>
        <v>2.6631625278721529</v>
      </c>
      <c r="S39" s="97">
        <f t="shared" si="22"/>
        <v>3.3468508857251251</v>
      </c>
      <c r="T39" s="97">
        <f t="shared" si="22"/>
        <v>3.0658234401973985</v>
      </c>
      <c r="U39" s="97">
        <f t="shared" si="22"/>
        <v>2.9004669204540861</v>
      </c>
      <c r="V39" s="97">
        <f t="shared" si="22"/>
        <v>3.6794995191684094</v>
      </c>
      <c r="W39" s="97">
        <f t="shared" si="22"/>
        <v>2.7008778433246974</v>
      </c>
      <c r="X39" s="97">
        <f t="shared" si="22"/>
        <v>3.4197263617548188</v>
      </c>
      <c r="Y39" s="97">
        <f t="shared" si="22"/>
        <v>3.4481262405086923</v>
      </c>
      <c r="Z39" s="97">
        <f t="shared" si="22"/>
        <v>2.6496221873108681</v>
      </c>
      <c r="AA39" s="97">
        <f t="shared" si="22"/>
        <v>3.6836684143521126</v>
      </c>
      <c r="AB39" s="97">
        <f t="shared" si="22"/>
        <v>3.0299645198425438</v>
      </c>
    </row>
    <row r="40" spans="1:28" ht="15" customHeight="1">
      <c r="A40" s="55" t="s">
        <v>451</v>
      </c>
      <c r="B40" s="86" t="s">
        <v>26</v>
      </c>
      <c r="C40" s="97">
        <f>C37</f>
        <v>2</v>
      </c>
      <c r="D40" s="97">
        <f t="shared" ref="D40:AB40" si="23">C40*(1-VRE_Dep)+D37</f>
        <v>3.1876725024312975</v>
      </c>
      <c r="E40" s="97">
        <f t="shared" si="23"/>
        <v>5.9427795123835914</v>
      </c>
      <c r="F40" s="97">
        <f t="shared" si="23"/>
        <v>5.9427795123835914</v>
      </c>
      <c r="G40" s="97">
        <f t="shared" si="23"/>
        <v>5.9427795123835914</v>
      </c>
      <c r="H40" s="97">
        <f t="shared" si="23"/>
        <v>7.9315923138515956</v>
      </c>
      <c r="I40" s="97">
        <f t="shared" si="23"/>
        <v>9.6872079998062688</v>
      </c>
      <c r="J40" s="97">
        <f t="shared" si="23"/>
        <v>11.545008417758901</v>
      </c>
      <c r="K40" s="97">
        <f t="shared" si="23"/>
        <v>13.257824093792745</v>
      </c>
      <c r="L40" s="97">
        <f t="shared" si="23"/>
        <v>14.682703839136199</v>
      </c>
      <c r="M40" s="97">
        <f t="shared" si="23"/>
        <v>16.349999338812164</v>
      </c>
      <c r="N40" s="97">
        <f t="shared" si="23"/>
        <v>17.796009132751031</v>
      </c>
      <c r="O40" s="97">
        <f t="shared" si="23"/>
        <v>19.378439263243788</v>
      </c>
      <c r="P40" s="97">
        <f t="shared" si="23"/>
        <v>20.912518125594584</v>
      </c>
      <c r="Q40" s="97">
        <f t="shared" si="23"/>
        <v>22.228761334013154</v>
      </c>
      <c r="R40" s="97">
        <f t="shared" si="23"/>
        <v>23.74307212519658</v>
      </c>
      <c r="S40" s="97">
        <f t="shared" si="23"/>
        <v>24.84060471851399</v>
      </c>
      <c r="T40" s="97">
        <f t="shared" si="23"/>
        <v>26.013616782498659</v>
      </c>
      <c r="U40" s="97">
        <f t="shared" si="23"/>
        <v>27.00483758800992</v>
      </c>
      <c r="V40" s="97">
        <f t="shared" si="23"/>
        <v>27.595630076427433</v>
      </c>
      <c r="W40" s="97">
        <f t="shared" si="23"/>
        <v>28.317294646413856</v>
      </c>
      <c r="X40" s="97">
        <f t="shared" si="23"/>
        <v>28.434927445419024</v>
      </c>
      <c r="Y40" s="97">
        <f t="shared" si="23"/>
        <v>28.45073147807857</v>
      </c>
      <c r="Z40" s="97">
        <f t="shared" si="23"/>
        <v>28.45073147807857</v>
      </c>
      <c r="AA40" s="97">
        <f t="shared" si="23"/>
        <v>28.45073147807857</v>
      </c>
      <c r="AB40" s="97">
        <f t="shared" si="23"/>
        <v>28.45073147807857</v>
      </c>
    </row>
    <row r="41" spans="1:28" ht="15" customHeight="1">
      <c r="A41" s="55" t="s">
        <v>452</v>
      </c>
      <c r="B41" s="86" t="s">
        <v>371</v>
      </c>
      <c r="C41" s="97">
        <f>IF(ESEM_On*(C2&gt;=ESEM_Start),MAX(0,C39*Firm_Cov),0)</f>
        <v>0</v>
      </c>
      <c r="D41" s="97">
        <f>IF(ESEM_On*(D2&gt;=ESEM_Start),MAX(0,D39*Firm_Cov),0)</f>
        <v>0</v>
      </c>
      <c r="E41" s="97">
        <f>IF(ESEM_On*(E2&gt;=ESEM_Start),MAX(0,E39*Firm_Cov),0)</f>
        <v>0</v>
      </c>
      <c r="F41" s="97">
        <f t="shared" ref="F41:AB41" si="24">IF(ESEM_On*(F2&gt;=ESEM_Start),MAX(0,(F39-(E44-C44))*Firm_Cov),0)</f>
        <v>0</v>
      </c>
      <c r="G41" s="97">
        <f t="shared" si="24"/>
        <v>0</v>
      </c>
      <c r="H41" s="97">
        <f t="shared" si="24"/>
        <v>0.21581212632646185</v>
      </c>
      <c r="I41" s="97">
        <f t="shared" si="24"/>
        <v>0.55504861057846855</v>
      </c>
      <c r="J41" s="97">
        <f t="shared" si="24"/>
        <v>0.29211621488508765</v>
      </c>
      <c r="K41" s="97">
        <f t="shared" si="24"/>
        <v>0.70317861206752319</v>
      </c>
      <c r="L41" s="97">
        <f t="shared" si="24"/>
        <v>0.8897791085379535</v>
      </c>
      <c r="M41" s="97">
        <f t="shared" si="24"/>
        <v>0.47874248337432601</v>
      </c>
      <c r="N41" s="97">
        <f t="shared" si="24"/>
        <v>1.1851917665637812</v>
      </c>
      <c r="O41" s="97">
        <f t="shared" si="24"/>
        <v>0.76943763906831586</v>
      </c>
      <c r="P41" s="97">
        <f t="shared" si="24"/>
        <v>0.73470742403739753</v>
      </c>
      <c r="Q41" s="97">
        <f t="shared" si="24"/>
        <v>1.455960345981149</v>
      </c>
      <c r="R41" s="97">
        <f t="shared" si="24"/>
        <v>0.42524528206824608</v>
      </c>
      <c r="S41" s="97">
        <f t="shared" si="24"/>
        <v>1.319080731908157</v>
      </c>
      <c r="T41" s="97">
        <f t="shared" si="24"/>
        <v>1.1893476835988959</v>
      </c>
      <c r="U41" s="97">
        <f t="shared" si="24"/>
        <v>0.3528346544523297</v>
      </c>
      <c r="V41" s="97">
        <f t="shared" si="24"/>
        <v>1.9235854630054647</v>
      </c>
      <c r="W41" s="97">
        <f t="shared" si="24"/>
        <v>0.38201195328021259</v>
      </c>
      <c r="X41" s="97">
        <f t="shared" si="24"/>
        <v>1.0027160509222279</v>
      </c>
      <c r="Y41" s="97">
        <f t="shared" si="24"/>
        <v>1.8570584126756271</v>
      </c>
      <c r="Z41" s="97">
        <f t="shared" si="24"/>
        <v>0</v>
      </c>
      <c r="AA41" s="97">
        <f t="shared" si="24"/>
        <v>1.6439490015088367</v>
      </c>
      <c r="AB41" s="97">
        <f t="shared" si="24"/>
        <v>1.2474139665003381</v>
      </c>
    </row>
    <row r="42" spans="1:28" ht="16.149999999999999" customHeight="1">
      <c r="A42" s="106" t="s">
        <v>453</v>
      </c>
      <c r="B42" s="107"/>
    </row>
    <row r="43" spans="1:28" ht="15" customHeight="1">
      <c r="A43" s="55" t="s">
        <v>454</v>
      </c>
      <c r="B43" s="86" t="s">
        <v>26</v>
      </c>
      <c r="C43" s="97">
        <f>0</f>
        <v>0</v>
      </c>
      <c r="D43" s="97">
        <f t="shared" ref="D43:AB43" si="25">C43*(1-VRE_Dep)+D38</f>
        <v>0</v>
      </c>
      <c r="E43" s="97">
        <f t="shared" si="25"/>
        <v>0</v>
      </c>
      <c r="F43" s="97">
        <f t="shared" si="25"/>
        <v>0</v>
      </c>
      <c r="G43" s="97">
        <f t="shared" si="25"/>
        <v>0</v>
      </c>
      <c r="H43" s="97">
        <f t="shared" si="25"/>
        <v>0.76167405368943975</v>
      </c>
      <c r="I43" s="97">
        <f t="shared" si="25"/>
        <v>1.5751906651193792</v>
      </c>
      <c r="J43" s="97">
        <f t="shared" si="25"/>
        <v>2.6866710488492345</v>
      </c>
      <c r="K43" s="97">
        <f t="shared" si="25"/>
        <v>4.354531228377482</v>
      </c>
      <c r="L43" s="97">
        <f t="shared" si="25"/>
        <v>5.8617938130025991</v>
      </c>
      <c r="M43" s="97">
        <f t="shared" si="25"/>
        <v>8.2380396431614145</v>
      </c>
      <c r="N43" s="97">
        <f t="shared" si="25"/>
        <v>10.352224506634357</v>
      </c>
      <c r="O43" s="97">
        <f t="shared" si="25"/>
        <v>12.911017644357763</v>
      </c>
      <c r="P43" s="97">
        <f t="shared" si="25"/>
        <v>16.017271461539039</v>
      </c>
      <c r="Q43" s="97">
        <f t="shared" si="25"/>
        <v>18.611166872290482</v>
      </c>
      <c r="R43" s="97">
        <f t="shared" si="25"/>
        <v>22.492240669101783</v>
      </c>
      <c r="S43" s="97">
        <f t="shared" si="25"/>
        <v>25.840514902545067</v>
      </c>
      <c r="T43" s="97">
        <f t="shared" si="25"/>
        <v>29.704057710284772</v>
      </c>
      <c r="U43" s="97">
        <f t="shared" si="25"/>
        <v>34.58431179033041</v>
      </c>
      <c r="V43" s="97">
        <f t="shared" si="25"/>
        <v>38.436360750542235</v>
      </c>
      <c r="W43" s="97">
        <f t="shared" si="25"/>
        <v>44.260785614560021</v>
      </c>
      <c r="X43" s="97">
        <f t="shared" si="25"/>
        <v>49.58240932463459</v>
      </c>
      <c r="Y43" s="97">
        <f t="shared" si="25"/>
        <v>55.035086460425305</v>
      </c>
      <c r="Z43" s="97">
        <f t="shared" si="25"/>
        <v>61.035086460425305</v>
      </c>
      <c r="AA43" s="97">
        <f t="shared" si="25"/>
        <v>67.035086460425305</v>
      </c>
      <c r="AB43" s="97">
        <f t="shared" si="25"/>
        <v>73.035086460425305</v>
      </c>
    </row>
    <row r="44" spans="1:28" ht="15" customHeight="1">
      <c r="A44" s="55" t="s">
        <v>455</v>
      </c>
      <c r="B44" s="86" t="s">
        <v>26</v>
      </c>
      <c r="C44" s="97">
        <f>0</f>
        <v>0</v>
      </c>
      <c r="D44" s="97">
        <f t="shared" ref="D44:AB44" si="26">C44+D41</f>
        <v>0</v>
      </c>
      <c r="E44" s="97">
        <f t="shared" si="26"/>
        <v>0</v>
      </c>
      <c r="F44" s="97">
        <f t="shared" si="26"/>
        <v>0</v>
      </c>
      <c r="G44" s="97">
        <f t="shared" si="26"/>
        <v>0</v>
      </c>
      <c r="H44" s="97">
        <f t="shared" si="26"/>
        <v>0.21581212632646185</v>
      </c>
      <c r="I44" s="97">
        <f t="shared" si="26"/>
        <v>0.7708607369049304</v>
      </c>
      <c r="J44" s="97">
        <f t="shared" si="26"/>
        <v>1.0629769517900181</v>
      </c>
      <c r="K44" s="97">
        <f t="shared" si="26"/>
        <v>1.7661555638575412</v>
      </c>
      <c r="L44" s="97">
        <f t="shared" si="26"/>
        <v>2.6559346723954946</v>
      </c>
      <c r="M44" s="97">
        <f t="shared" si="26"/>
        <v>3.1346771557698205</v>
      </c>
      <c r="N44" s="97">
        <f t="shared" si="26"/>
        <v>4.319868922333602</v>
      </c>
      <c r="O44" s="97">
        <f t="shared" si="26"/>
        <v>5.0893065614019175</v>
      </c>
      <c r="P44" s="97">
        <f t="shared" si="26"/>
        <v>5.8240139854393149</v>
      </c>
      <c r="Q44" s="97">
        <f t="shared" si="26"/>
        <v>7.2799743314204637</v>
      </c>
      <c r="R44" s="97">
        <f t="shared" si="26"/>
        <v>7.7052196134887101</v>
      </c>
      <c r="S44" s="97">
        <f t="shared" si="26"/>
        <v>9.0243003453968669</v>
      </c>
      <c r="T44" s="97">
        <f t="shared" si="26"/>
        <v>10.213648028995763</v>
      </c>
      <c r="U44" s="97">
        <f t="shared" si="26"/>
        <v>10.566482683448093</v>
      </c>
      <c r="V44" s="97">
        <f t="shared" si="26"/>
        <v>12.490068146453558</v>
      </c>
      <c r="W44" s="97">
        <f t="shared" si="26"/>
        <v>12.87208009973377</v>
      </c>
      <c r="X44" s="97">
        <f t="shared" si="26"/>
        <v>13.874796150655998</v>
      </c>
      <c r="Y44" s="97">
        <f t="shared" si="26"/>
        <v>15.731854563331625</v>
      </c>
      <c r="Z44" s="97">
        <f t="shared" si="26"/>
        <v>15.731854563331625</v>
      </c>
      <c r="AA44" s="97">
        <f t="shared" si="26"/>
        <v>17.37580356484046</v>
      </c>
      <c r="AB44" s="97">
        <f t="shared" si="26"/>
        <v>18.623217531340799</v>
      </c>
    </row>
    <row r="45" spans="1:28" ht="16.149999999999999" customHeight="1">
      <c r="A45" s="106" t="s">
        <v>456</v>
      </c>
      <c r="B45" s="107"/>
    </row>
    <row r="46" spans="1:28">
      <c r="A46" s="55" t="s">
        <v>457</v>
      </c>
      <c r="B46" s="82" t="s">
        <v>26</v>
      </c>
      <c r="C46" s="97">
        <f>0</f>
        <v>0</v>
      </c>
      <c r="D46" s="97">
        <f>MAX(0,C46*(1-Divest_Rate))</f>
        <v>0</v>
      </c>
      <c r="E46" s="97">
        <f>MAX(0,D46*(1-Divest_Rate))</f>
        <v>0</v>
      </c>
      <c r="F46" s="97">
        <f t="shared" ref="F46:AB46" si="27">MAX(0,E46*(1-Divest_Rate)+IF(ESEM_On=1,C38,0))</f>
        <v>0</v>
      </c>
      <c r="G46" s="97">
        <f t="shared" si="27"/>
        <v>0</v>
      </c>
      <c r="H46" s="97">
        <f t="shared" si="27"/>
        <v>0</v>
      </c>
      <c r="I46" s="97">
        <f t="shared" si="27"/>
        <v>0</v>
      </c>
      <c r="J46" s="97">
        <f t="shared" si="27"/>
        <v>0</v>
      </c>
      <c r="K46" s="97">
        <f t="shared" si="27"/>
        <v>0.76167405368943975</v>
      </c>
      <c r="L46" s="97">
        <f t="shared" si="27"/>
        <v>1.5166003532971146</v>
      </c>
      <c r="M46" s="97">
        <f t="shared" si="27"/>
        <v>2.5114191713887304</v>
      </c>
      <c r="N46" s="97">
        <f t="shared" si="27"/>
        <v>3.9860932608101525</v>
      </c>
      <c r="O46" s="97">
        <f t="shared" si="27"/>
        <v>5.1867332869114122</v>
      </c>
      <c r="P46" s="97">
        <f t="shared" si="27"/>
        <v>7.1639996334616578</v>
      </c>
      <c r="Q46" s="97">
        <f t="shared" si="27"/>
        <v>8.7271076020529357</v>
      </c>
      <c r="R46" s="97">
        <f t="shared" si="27"/>
        <v>10.614584770387655</v>
      </c>
      <c r="S46" s="97">
        <f t="shared" si="27"/>
        <v>12.90433206676988</v>
      </c>
      <c r="T46" s="97">
        <f t="shared" si="27"/>
        <v>14.505586549308257</v>
      </c>
      <c r="U46" s="97">
        <f t="shared" si="27"/>
        <v>17.270845996172767</v>
      </c>
      <c r="V46" s="97">
        <f t="shared" si="27"/>
        <v>19.290593614525839</v>
      </c>
      <c r="W46" s="97">
        <f t="shared" si="27"/>
        <v>21.670244605763557</v>
      </c>
      <c r="X46" s="97">
        <f t="shared" si="27"/>
        <v>24.883556793058155</v>
      </c>
      <c r="Y46" s="97">
        <f t="shared" si="27"/>
        <v>26.821485999957815</v>
      </c>
      <c r="Z46" s="97">
        <f t="shared" si="27"/>
        <v>30.582719633209617</v>
      </c>
      <c r="AA46" s="97">
        <f t="shared" si="27"/>
        <v>33.551826448421906</v>
      </c>
      <c r="AB46" s="97">
        <f t="shared" si="27"/>
        <v>36.423593857410935</v>
      </c>
    </row>
    <row r="47" spans="1:28" ht="15" customHeight="1">
      <c r="A47" s="55" t="s">
        <v>458</v>
      </c>
      <c r="B47" s="82" t="s">
        <v>459</v>
      </c>
      <c r="C47" s="97">
        <f>0</f>
        <v>0</v>
      </c>
      <c r="D47" s="97">
        <f>MAX(0,C47*(1-Divest_Rate))</f>
        <v>0</v>
      </c>
      <c r="E47" s="97">
        <f>MAX(0,D47*(1-Divest_Rate))</f>
        <v>0</v>
      </c>
      <c r="F47" s="97">
        <f t="shared" ref="F47:AB47" si="28">MAX(0,E47*(1-Divest_Rate)+IF(ESEM_On=1,C38*C22*(1+Markup_Base+Markup_Rate*C38),0))</f>
        <v>0</v>
      </c>
      <c r="G47" s="97">
        <f t="shared" si="28"/>
        <v>0</v>
      </c>
      <c r="H47" s="97">
        <f t="shared" si="28"/>
        <v>0</v>
      </c>
      <c r="I47" s="97">
        <f t="shared" si="28"/>
        <v>0</v>
      </c>
      <c r="J47" s="97">
        <f t="shared" si="28"/>
        <v>0</v>
      </c>
      <c r="K47" s="97">
        <f t="shared" si="28"/>
        <v>71.727633263246645</v>
      </c>
      <c r="L47" s="97">
        <f t="shared" si="28"/>
        <v>140.38569866866459</v>
      </c>
      <c r="M47" s="97">
        <f t="shared" si="28"/>
        <v>229.14443146152951</v>
      </c>
      <c r="N47" s="97">
        <f t="shared" si="28"/>
        <v>358.94193612197842</v>
      </c>
      <c r="O47" s="97">
        <f t="shared" si="28"/>
        <v>462.41108932258112</v>
      </c>
      <c r="P47" s="97">
        <f t="shared" si="28"/>
        <v>633.96096678518097</v>
      </c>
      <c r="Q47" s="97">
        <f t="shared" si="28"/>
        <v>766.77097103636584</v>
      </c>
      <c r="R47" s="97">
        <f t="shared" si="28"/>
        <v>927.95854649633543</v>
      </c>
      <c r="S47" s="97">
        <f t="shared" si="28"/>
        <v>1124.0107076434119</v>
      </c>
      <c r="T47" s="97">
        <f t="shared" si="28"/>
        <v>1257.5456973374298</v>
      </c>
      <c r="U47" s="97">
        <f t="shared" si="28"/>
        <v>1496.291433357839</v>
      </c>
      <c r="V47" s="97">
        <f t="shared" si="28"/>
        <v>1666.4860037160263</v>
      </c>
      <c r="W47" s="97">
        <f t="shared" si="28"/>
        <v>1870.2933134357149</v>
      </c>
      <c r="X47" s="97">
        <f t="shared" si="28"/>
        <v>2152.7316099154514</v>
      </c>
      <c r="Y47" s="97">
        <f t="shared" si="28"/>
        <v>2317.0076813193286</v>
      </c>
      <c r="Z47" s="97">
        <f t="shared" si="28"/>
        <v>2655.726115792605</v>
      </c>
      <c r="AA47" s="97">
        <f t="shared" si="28"/>
        <v>2918.7674279888301</v>
      </c>
      <c r="AB47" s="97">
        <f t="shared" si="28"/>
        <v>3175.435800735936</v>
      </c>
    </row>
    <row r="48" spans="1:28" ht="15" customHeight="1">
      <c r="A48" s="55" t="s">
        <v>460</v>
      </c>
      <c r="B48" s="82" t="s">
        <v>44</v>
      </c>
      <c r="C48" s="97">
        <f t="shared" ref="C48:AB48" si="29">IF(C46&gt;0,C47/C46,C22)</f>
        <v>112.22813980497169</v>
      </c>
      <c r="D48" s="97">
        <f t="shared" si="29"/>
        <v>105.35894415992087</v>
      </c>
      <c r="E48" s="97">
        <f t="shared" si="29"/>
        <v>101.50142191230249</v>
      </c>
      <c r="F48" s="97">
        <f t="shared" si="29"/>
        <v>97.872067895639759</v>
      </c>
      <c r="G48" s="97">
        <f t="shared" si="29"/>
        <v>95.138253987219144</v>
      </c>
      <c r="H48" s="97">
        <f t="shared" si="29"/>
        <v>91.853256660461781</v>
      </c>
      <c r="I48" s="97">
        <f t="shared" si="29"/>
        <v>88.844945592806397</v>
      </c>
      <c r="J48" s="97">
        <f t="shared" si="29"/>
        <v>86.77536459303272</v>
      </c>
      <c r="K48" s="97">
        <f t="shared" si="29"/>
        <v>94.171034073969423</v>
      </c>
      <c r="L48" s="97">
        <f t="shared" si="29"/>
        <v>92.566046396774027</v>
      </c>
      <c r="M48" s="97">
        <f t="shared" si="29"/>
        <v>91.241013874565724</v>
      </c>
      <c r="N48" s="97">
        <f t="shared" si="29"/>
        <v>90.048554470856857</v>
      </c>
      <c r="O48" s="97">
        <f t="shared" si="29"/>
        <v>89.152663872164695</v>
      </c>
      <c r="P48" s="97">
        <f t="shared" si="29"/>
        <v>88.492601789658366</v>
      </c>
      <c r="Q48" s="97">
        <f t="shared" si="29"/>
        <v>87.860836144153097</v>
      </c>
      <c r="R48" s="97">
        <f t="shared" si="29"/>
        <v>87.422971936230113</v>
      </c>
      <c r="S48" s="97">
        <f t="shared" si="29"/>
        <v>87.10336202040763</v>
      </c>
      <c r="T48" s="97">
        <f t="shared" si="29"/>
        <v>86.693888114258968</v>
      </c>
      <c r="U48" s="97">
        <f t="shared" si="29"/>
        <v>86.636834911817189</v>
      </c>
      <c r="V48" s="97">
        <f t="shared" si="29"/>
        <v>86.388528887009485</v>
      </c>
      <c r="W48" s="97">
        <f t="shared" si="29"/>
        <v>86.306977491997472</v>
      </c>
      <c r="X48" s="97">
        <f t="shared" si="29"/>
        <v>86.512214785790022</v>
      </c>
      <c r="Y48" s="97">
        <f t="shared" si="29"/>
        <v>86.386253219637894</v>
      </c>
      <c r="Z48" s="97">
        <f t="shared" si="29"/>
        <v>86.837473829788692</v>
      </c>
      <c r="AA48" s="97">
        <f t="shared" si="29"/>
        <v>86.992802984235539</v>
      </c>
      <c r="AB48" s="97">
        <f t="shared" si="29"/>
        <v>87.180738209605451</v>
      </c>
    </row>
    <row r="49" spans="1:29" ht="15" customHeight="1">
      <c r="A49" s="55" t="s">
        <v>461</v>
      </c>
      <c r="B49" s="82" t="s">
        <v>371</v>
      </c>
      <c r="C49" s="97">
        <f>MAX(0,(C32-IFERROR('Building assets'!B92,Firm_LRMC))/Firm_Sprd)</f>
        <v>0</v>
      </c>
      <c r="D49" s="97">
        <f>MAX(0,(D32-IFERROR('Building assets'!C92,Firm_LRMC))/Firm_Sprd)</f>
        <v>0</v>
      </c>
      <c r="E49" s="97">
        <f>MAX(0,(E32-IFERROR('Building assets'!D92,Firm_LRMC))/Firm_Sprd)</f>
        <v>0</v>
      </c>
      <c r="F49" s="97">
        <f>MAX(0,(F32-IFERROR('Building assets'!E92,Firm_LRMC))/Firm_Sprd)</f>
        <v>0</v>
      </c>
      <c r="G49" s="97">
        <f>MAX(0,(G32-IFERROR('Building assets'!F92,Firm_LRMC))/Firm_Sprd)</f>
        <v>0</v>
      </c>
      <c r="H49" s="97">
        <f>MAX(0,(H32-IFERROR('Building assets'!G92,Firm_LRMC))/Firm_Sprd)</f>
        <v>0</v>
      </c>
      <c r="I49" s="97">
        <f>MAX(0,(I32-IFERROR('Building assets'!H92,Firm_LRMC))/Firm_Sprd)</f>
        <v>0</v>
      </c>
      <c r="J49" s="97">
        <f>MAX(0,(J32-IFERROR('Building assets'!I92,Firm_LRMC))/Firm_Sprd)</f>
        <v>0</v>
      </c>
      <c r="K49" s="97">
        <f>MAX(0,(K32-IFERROR('Building assets'!J92,Firm_LRMC))/Firm_Sprd)</f>
        <v>0</v>
      </c>
      <c r="L49" s="97">
        <f>MAX(0,(L32-IFERROR('Building assets'!K92,Firm_LRMC))/Firm_Sprd)</f>
        <v>8.841965575445225E-2</v>
      </c>
      <c r="M49" s="97">
        <f>MAX(0,(M32-IFERROR('Building assets'!L92,Firm_LRMC))/Firm_Sprd)</f>
        <v>0.1377017594022405</v>
      </c>
      <c r="N49" s="97">
        <f>MAX(0,(N32-IFERROR('Building assets'!M92,Firm_LRMC))/Firm_Sprd)</f>
        <v>0.28108927117753241</v>
      </c>
      <c r="O49" s="97">
        <f>MAX(0,(O32-IFERROR('Building assets'!N92,Firm_LRMC))/Firm_Sprd)</f>
        <v>0.21560622675929011</v>
      </c>
      <c r="P49" s="97">
        <f>MAX(0,(P32-IFERROR('Building assets'!O92,Firm_LRMC))/Firm_Sprd)</f>
        <v>0.26767597565864776</v>
      </c>
      <c r="Q49" s="97">
        <f>MAX(0,(Q32-IFERROR('Building assets'!P92,Firm_LRMC))/Firm_Sprd)</f>
        <v>0.3454756943698058</v>
      </c>
      <c r="R49" s="97">
        <f>MAX(0,(R32-IFERROR('Building assets'!Q92,Firm_LRMC))/Firm_Sprd)</f>
        <v>0.2037661895573758</v>
      </c>
      <c r="S49" s="97">
        <f>MAX(0,(S32-IFERROR('Building assets'!R92,Firm_LRMC))/Firm_Sprd)</f>
        <v>0.36759962821271491</v>
      </c>
      <c r="T49" s="97">
        <f>MAX(0,(T32-IFERROR('Building assets'!S92,Firm_LRMC))/Firm_Sprd)</f>
        <v>0.27463261045786663</v>
      </c>
      <c r="U49" s="97">
        <f>MAX(0,(U32-IFERROR('Building assets'!T92,Firm_LRMC))/Firm_Sprd)</f>
        <v>0.21516041548059756</v>
      </c>
      <c r="V49" s="97">
        <f>MAX(0,(V32-IFERROR('Building assets'!U92,Firm_LRMC))/Firm_Sprd)</f>
        <v>0.39312401244565554</v>
      </c>
      <c r="W49" s="97">
        <f>MAX(0,(W32-IFERROR('Building assets'!V92,Firm_LRMC))/Firm_Sprd)</f>
        <v>0.13623009937610439</v>
      </c>
      <c r="X49" s="97">
        <f>MAX(0,(X32-IFERROR('Building assets'!W92,Firm_LRMC))/Firm_Sprd)</f>
        <v>0.2899960863018502</v>
      </c>
      <c r="Y49" s="97">
        <f>MAX(0,(Y32-IFERROR('Building assets'!X92,Firm_LRMC))/Firm_Sprd)</f>
        <v>0.27841064053762116</v>
      </c>
      <c r="Z49" s="97">
        <f>MAX(0,(Z32-IFERROR('Building assets'!Y92,Firm_LRMC))/Firm_Sprd)</f>
        <v>8.2144509655876635E-2</v>
      </c>
      <c r="AA49" s="97">
        <f>MAX(0,(AA32-IFERROR('Building assets'!Z92,Firm_LRMC))/Firm_Sprd)</f>
        <v>0.29574880251918356</v>
      </c>
      <c r="AB49" s="97">
        <f>MAX(0,(AB32-IFERROR('Building assets'!AA92,Firm_LRMC))/Firm_Sprd)</f>
        <v>0.13541715864788936</v>
      </c>
    </row>
    <row r="50" spans="1:29" ht="15" customHeight="1">
      <c r="A50" s="55" t="s">
        <v>462</v>
      </c>
      <c r="B50" s="82" t="s">
        <v>26</v>
      </c>
      <c r="C50" s="97">
        <f>0</f>
        <v>0</v>
      </c>
      <c r="D50" s="97">
        <f t="shared" ref="D50:AB50" si="30">C50*(1-Firm_Decay)+D49</f>
        <v>0</v>
      </c>
      <c r="E50" s="97">
        <f t="shared" si="30"/>
        <v>0</v>
      </c>
      <c r="F50" s="97">
        <f t="shared" si="30"/>
        <v>0</v>
      </c>
      <c r="G50" s="97">
        <f t="shared" si="30"/>
        <v>0</v>
      </c>
      <c r="H50" s="97">
        <f t="shared" si="30"/>
        <v>0</v>
      </c>
      <c r="I50" s="97">
        <f t="shared" si="30"/>
        <v>0</v>
      </c>
      <c r="J50" s="97">
        <f t="shared" si="30"/>
        <v>0</v>
      </c>
      <c r="K50" s="97">
        <f t="shared" si="30"/>
        <v>0</v>
      </c>
      <c r="L50" s="97">
        <f t="shared" si="30"/>
        <v>8.841965575445225E-2</v>
      </c>
      <c r="M50" s="97">
        <f t="shared" si="30"/>
        <v>0.22612141515669276</v>
      </c>
      <c r="N50" s="97">
        <f t="shared" si="30"/>
        <v>0.50721068633422517</v>
      </c>
      <c r="O50" s="97">
        <f t="shared" si="30"/>
        <v>0.72281691309351526</v>
      </c>
      <c r="P50" s="97">
        <f t="shared" si="30"/>
        <v>0.99049288875216301</v>
      </c>
      <c r="Q50" s="97">
        <f t="shared" si="30"/>
        <v>1.3359685831219688</v>
      </c>
      <c r="R50" s="97">
        <f t="shared" si="30"/>
        <v>1.5397347726793447</v>
      </c>
      <c r="S50" s="97">
        <f t="shared" si="30"/>
        <v>1.9073344008920596</v>
      </c>
      <c r="T50" s="97">
        <f t="shared" si="30"/>
        <v>2.1819670113499261</v>
      </c>
      <c r="U50" s="97">
        <f t="shared" si="30"/>
        <v>2.3971274268305236</v>
      </c>
      <c r="V50" s="97">
        <f t="shared" si="30"/>
        <v>2.790251439276179</v>
      </c>
      <c r="W50" s="97">
        <f t="shared" si="30"/>
        <v>2.9264815386522836</v>
      </c>
      <c r="X50" s="97">
        <f t="shared" si="30"/>
        <v>3.2164776249541336</v>
      </c>
      <c r="Y50" s="97">
        <f t="shared" si="30"/>
        <v>3.4948882654917548</v>
      </c>
      <c r="Z50" s="97">
        <f t="shared" si="30"/>
        <v>3.5770327751476314</v>
      </c>
      <c r="AA50" s="97">
        <f t="shared" si="30"/>
        <v>3.8727815776668151</v>
      </c>
      <c r="AB50" s="97">
        <f t="shared" si="30"/>
        <v>4.0081987363147045</v>
      </c>
    </row>
    <row r="51" spans="1:29">
      <c r="A51" s="51" t="s">
        <v>463</v>
      </c>
      <c r="B51" s="81" t="s">
        <v>26</v>
      </c>
      <c r="C51" s="96">
        <f>0</f>
        <v>0</v>
      </c>
      <c r="D51" s="96">
        <f>MAX(0,C51*(1-Divest_Rate))</f>
        <v>0</v>
      </c>
      <c r="E51" s="96">
        <f>MAX(0,D51*(1-Divest_Rate))</f>
        <v>0</v>
      </c>
      <c r="F51" s="96">
        <f t="shared" ref="F51:AB51" si="31">MAX(0,E51*(1-Divest_Rate)+IF(ESEM_On=1,C41,0))</f>
        <v>0</v>
      </c>
      <c r="G51" s="96">
        <f t="shared" si="31"/>
        <v>0</v>
      </c>
      <c r="H51" s="96">
        <f t="shared" si="31"/>
        <v>0</v>
      </c>
      <c r="I51" s="96">
        <f t="shared" si="31"/>
        <v>0</v>
      </c>
      <c r="J51" s="96">
        <f t="shared" si="31"/>
        <v>0</v>
      </c>
      <c r="K51" s="96">
        <f t="shared" si="31"/>
        <v>0.21581212632646185</v>
      </c>
      <c r="L51" s="96">
        <f t="shared" si="31"/>
        <v>0.75425980411058724</v>
      </c>
      <c r="M51" s="96">
        <f t="shared" si="31"/>
        <v>0.98835603406409134</v>
      </c>
      <c r="N51" s="96">
        <f t="shared" si="31"/>
        <v>1.6155072588959154</v>
      </c>
      <c r="O51" s="96">
        <f t="shared" si="31"/>
        <v>2.3810165782880293</v>
      </c>
      <c r="P51" s="96">
        <f t="shared" si="31"/>
        <v>2.6766039402555837</v>
      </c>
      <c r="Q51" s="96">
        <f t="shared" si="31"/>
        <v>3.6559030960304737</v>
      </c>
      <c r="R51" s="96">
        <f t="shared" si="31"/>
        <v>4.1441174200195228</v>
      </c>
      <c r="S51" s="96">
        <f t="shared" si="31"/>
        <v>4.5600465809784954</v>
      </c>
      <c r="T51" s="96">
        <f t="shared" si="31"/>
        <v>5.6652341130382213</v>
      </c>
      <c r="U51" s="96">
        <f t="shared" si="31"/>
        <v>5.6546921556419898</v>
      </c>
      <c r="V51" s="96">
        <f t="shared" si="31"/>
        <v>6.5387965678853783</v>
      </c>
      <c r="W51" s="96">
        <f t="shared" si="31"/>
        <v>7.2251599001084763</v>
      </c>
      <c r="X51" s="96">
        <f t="shared" si="31"/>
        <v>7.0222130237832312</v>
      </c>
      <c r="Y51" s="96">
        <f t="shared" si="31"/>
        <v>8.4056282541899865</v>
      </c>
      <c r="Z51" s="96">
        <f t="shared" si="31"/>
        <v>8.1410534186863543</v>
      </c>
      <c r="AA51" s="96">
        <f t="shared" si="31"/>
        <v>8.5175345912480935</v>
      </c>
      <c r="AB51" s="96">
        <f t="shared" si="31"/>
        <v>9.7193980353661757</v>
      </c>
    </row>
    <row r="52" spans="1:29" ht="15" customHeight="1">
      <c r="A52" s="55" t="s">
        <v>464</v>
      </c>
      <c r="B52" s="82" t="s">
        <v>459</v>
      </c>
      <c r="C52" s="97">
        <f>0</f>
        <v>0</v>
      </c>
      <c r="D52" s="97">
        <f>MAX(0,C52*(1-Divest_Rate))</f>
        <v>0</v>
      </c>
      <c r="E52" s="97">
        <f>MAX(0,D52*(1-Divest_Rate))</f>
        <v>0</v>
      </c>
      <c r="F52" s="97">
        <f t="shared" ref="F52:AB52" si="32">MAX(0,E52*(1-Divest_Rate)+IF(ESEM_On=1,C41*Firm_LRMC*(1+Markup_Base),0))</f>
        <v>0</v>
      </c>
      <c r="G52" s="97">
        <f t="shared" si="32"/>
        <v>0</v>
      </c>
      <c r="H52" s="97">
        <f t="shared" si="32"/>
        <v>0</v>
      </c>
      <c r="I52" s="97">
        <f t="shared" si="32"/>
        <v>0</v>
      </c>
      <c r="J52" s="97">
        <f t="shared" si="32"/>
        <v>0</v>
      </c>
      <c r="K52" s="97">
        <f t="shared" si="32"/>
        <v>54.599366405050532</v>
      </c>
      <c r="L52" s="97">
        <f t="shared" si="32"/>
        <v>190.8238805216111</v>
      </c>
      <c r="M52" s="97">
        <f t="shared" si="32"/>
        <v>250.04903181796402</v>
      </c>
      <c r="N52" s="97">
        <f t="shared" si="32"/>
        <v>408.71509057395144</v>
      </c>
      <c r="O52" s="97">
        <f t="shared" si="32"/>
        <v>602.38504104163292</v>
      </c>
      <c r="P52" s="97">
        <f t="shared" si="32"/>
        <v>677.16713487242782</v>
      </c>
      <c r="Q52" s="97">
        <f t="shared" si="32"/>
        <v>924.92482271164795</v>
      </c>
      <c r="R52" s="97">
        <f t="shared" si="32"/>
        <v>1048.4405547208353</v>
      </c>
      <c r="S52" s="97">
        <f t="shared" si="32"/>
        <v>1153.6685094437839</v>
      </c>
      <c r="T52" s="97">
        <f t="shared" si="32"/>
        <v>1433.2753139193655</v>
      </c>
      <c r="U52" s="97">
        <f t="shared" si="32"/>
        <v>1430.6082525067338</v>
      </c>
      <c r="V52" s="97">
        <f t="shared" si="32"/>
        <v>1654.2821561287094</v>
      </c>
      <c r="W52" s="97">
        <f t="shared" si="32"/>
        <v>1827.9285758222509</v>
      </c>
      <c r="X52" s="97">
        <f t="shared" si="32"/>
        <v>1776.5840520002646</v>
      </c>
      <c r="Y52" s="97">
        <f t="shared" si="32"/>
        <v>2126.5810440184296</v>
      </c>
      <c r="Z52" s="97">
        <f t="shared" si="32"/>
        <v>2059.6449610878221</v>
      </c>
      <c r="AA52" s="97">
        <f t="shared" si="32"/>
        <v>2154.8927760980255</v>
      </c>
      <c r="AB52" s="97">
        <f t="shared" si="32"/>
        <v>2458.9580928679156</v>
      </c>
    </row>
    <row r="53" spans="1:29">
      <c r="A53" s="92" t="s">
        <v>465</v>
      </c>
      <c r="B53" s="81" t="s">
        <v>44</v>
      </c>
      <c r="C53" s="96">
        <f t="shared" ref="C53:AB53" si="33">IF(C51&gt;0,C52/C51,Firm_LRMC)</f>
        <v>250.48999580814328</v>
      </c>
      <c r="D53" s="96">
        <f t="shared" si="33"/>
        <v>250.48999580814328</v>
      </c>
      <c r="E53" s="96">
        <f t="shared" si="33"/>
        <v>250.48999580814328</v>
      </c>
      <c r="F53" s="96">
        <f t="shared" si="33"/>
        <v>250.48999580814328</v>
      </c>
      <c r="G53" s="96">
        <f t="shared" si="33"/>
        <v>250.48999580814328</v>
      </c>
      <c r="H53" s="96">
        <f t="shared" si="33"/>
        <v>250.48999580814328</v>
      </c>
      <c r="I53" s="96">
        <f t="shared" si="33"/>
        <v>250.48999580814328</v>
      </c>
      <c r="J53" s="96">
        <f t="shared" si="33"/>
        <v>250.48999580814328</v>
      </c>
      <c r="K53" s="96">
        <f t="shared" si="33"/>
        <v>252.99489576622469</v>
      </c>
      <c r="L53" s="96">
        <f t="shared" si="33"/>
        <v>252.99489576622474</v>
      </c>
      <c r="M53" s="96">
        <f t="shared" si="33"/>
        <v>252.99489576622472</v>
      </c>
      <c r="N53" s="96">
        <f t="shared" si="33"/>
        <v>252.99489576622466</v>
      </c>
      <c r="O53" s="96">
        <f t="shared" si="33"/>
        <v>252.99489576622469</v>
      </c>
      <c r="P53" s="96">
        <f t="shared" si="33"/>
        <v>252.99489576622474</v>
      </c>
      <c r="Q53" s="96">
        <f t="shared" si="33"/>
        <v>252.99489576622472</v>
      </c>
      <c r="R53" s="96">
        <f t="shared" si="33"/>
        <v>252.99489576622472</v>
      </c>
      <c r="S53" s="96">
        <f t="shared" si="33"/>
        <v>252.99489576622474</v>
      </c>
      <c r="T53" s="96">
        <f t="shared" si="33"/>
        <v>252.99489576622474</v>
      </c>
      <c r="U53" s="96">
        <f t="shared" si="33"/>
        <v>252.99489576622474</v>
      </c>
      <c r="V53" s="96">
        <f t="shared" si="33"/>
        <v>252.99489576622474</v>
      </c>
      <c r="W53" s="96">
        <f t="shared" si="33"/>
        <v>252.99489576622477</v>
      </c>
      <c r="X53" s="96">
        <f t="shared" si="33"/>
        <v>252.99489576622477</v>
      </c>
      <c r="Y53" s="96">
        <f t="shared" si="33"/>
        <v>252.99489576622477</v>
      </c>
      <c r="Z53" s="96">
        <f t="shared" si="33"/>
        <v>252.99489576622477</v>
      </c>
      <c r="AA53" s="96">
        <f t="shared" si="33"/>
        <v>252.9948957662248</v>
      </c>
      <c r="AB53" s="96">
        <f t="shared" si="33"/>
        <v>252.9948957662248</v>
      </c>
    </row>
    <row r="54" spans="1:29">
      <c r="A54" s="106" t="s">
        <v>466</v>
      </c>
      <c r="B54" s="107"/>
    </row>
    <row r="55" spans="1:29">
      <c r="A55" s="85" t="s">
        <v>467</v>
      </c>
      <c r="B55" s="81" t="s">
        <v>371</v>
      </c>
      <c r="C55" s="96">
        <f>IF(C2&gt;=Recycle_Lag,Divest_Rate*C46,0)</f>
        <v>0</v>
      </c>
      <c r="D55" s="96">
        <f t="shared" ref="D55:AB55" si="34">IF(D2&gt;=Recycle_Lag,Divest_Rate*C46,0)</f>
        <v>0</v>
      </c>
      <c r="E55" s="96">
        <f t="shared" si="34"/>
        <v>0</v>
      </c>
      <c r="F55" s="96">
        <f t="shared" si="34"/>
        <v>0</v>
      </c>
      <c r="G55" s="96">
        <f t="shared" si="34"/>
        <v>0</v>
      </c>
      <c r="H55" s="96">
        <f t="shared" si="34"/>
        <v>0</v>
      </c>
      <c r="I55" s="96">
        <f t="shared" si="34"/>
        <v>0</v>
      </c>
      <c r="J55" s="96">
        <f t="shared" si="34"/>
        <v>0</v>
      </c>
      <c r="K55" s="96">
        <f t="shared" si="34"/>
        <v>0</v>
      </c>
      <c r="L55" s="96">
        <f t="shared" si="34"/>
        <v>5.8590311822264596E-2</v>
      </c>
      <c r="M55" s="96">
        <f t="shared" si="34"/>
        <v>0.11666156563823959</v>
      </c>
      <c r="N55" s="96">
        <f t="shared" si="34"/>
        <v>0.19318609010682541</v>
      </c>
      <c r="O55" s="96">
        <f t="shared" si="34"/>
        <v>0.30662255852385789</v>
      </c>
      <c r="P55" s="96">
        <f t="shared" si="34"/>
        <v>0.39897948360857022</v>
      </c>
      <c r="Q55" s="96">
        <f t="shared" si="34"/>
        <v>0.551076894881666</v>
      </c>
      <c r="R55" s="96">
        <f t="shared" si="34"/>
        <v>0.67131596938868743</v>
      </c>
      <c r="S55" s="96">
        <f t="shared" si="34"/>
        <v>0.81650652079905039</v>
      </c>
      <c r="T55" s="96">
        <f t="shared" si="34"/>
        <v>0.99264092821306782</v>
      </c>
      <c r="U55" s="96">
        <f t="shared" si="34"/>
        <v>1.115814349946789</v>
      </c>
      <c r="V55" s="96">
        <f t="shared" si="34"/>
        <v>1.3285266150902129</v>
      </c>
      <c r="W55" s="96">
        <f t="shared" si="34"/>
        <v>1.4838918165019876</v>
      </c>
      <c r="X55" s="96">
        <f t="shared" si="34"/>
        <v>1.6669418927510429</v>
      </c>
      <c r="Y55" s="96">
        <f t="shared" si="34"/>
        <v>1.9141197533121659</v>
      </c>
      <c r="Z55" s="96">
        <f t="shared" si="34"/>
        <v>2.0631912307659861</v>
      </c>
      <c r="AA55" s="96">
        <f t="shared" si="34"/>
        <v>2.3525168948622786</v>
      </c>
      <c r="AB55" s="96">
        <f t="shared" si="34"/>
        <v>2.5809097268016852</v>
      </c>
    </row>
    <row r="56" spans="1:29">
      <c r="A56" s="85" t="s">
        <v>468</v>
      </c>
      <c r="B56" s="81" t="s">
        <v>392</v>
      </c>
      <c r="C56" s="96">
        <f t="shared" ref="C56:AB56" si="35">IF(C2&gt;=Recycle_Lag,(C29-C48)*C55*VRE_CFe*8.76,0)</f>
        <v>0</v>
      </c>
      <c r="D56" s="96">
        <f t="shared" si="35"/>
        <v>0</v>
      </c>
      <c r="E56" s="96">
        <f t="shared" si="35"/>
        <v>0</v>
      </c>
      <c r="F56" s="96">
        <f t="shared" si="35"/>
        <v>0</v>
      </c>
      <c r="G56" s="96">
        <f t="shared" si="35"/>
        <v>0</v>
      </c>
      <c r="H56" s="96">
        <f t="shared" si="35"/>
        <v>0</v>
      </c>
      <c r="I56" s="96">
        <f t="shared" si="35"/>
        <v>0</v>
      </c>
      <c r="J56" s="96">
        <f t="shared" si="35"/>
        <v>0</v>
      </c>
      <c r="K56" s="96">
        <f t="shared" si="35"/>
        <v>0</v>
      </c>
      <c r="L56" s="96">
        <f t="shared" si="35"/>
        <v>-0.43953132194501615</v>
      </c>
      <c r="M56" s="96">
        <f t="shared" si="35"/>
        <v>-0.57776132254833645</v>
      </c>
      <c r="N56" s="96">
        <f t="shared" si="35"/>
        <v>-1.1776865728278292</v>
      </c>
      <c r="O56" s="96">
        <f t="shared" si="35"/>
        <v>-1.2279133690410835</v>
      </c>
      <c r="P56" s="96">
        <f t="shared" si="35"/>
        <v>-1.8863613469612277</v>
      </c>
      <c r="Q56" s="96">
        <f t="shared" si="35"/>
        <v>-3.4579121472110428</v>
      </c>
      <c r="R56" s="96">
        <f t="shared" si="35"/>
        <v>-2.921324086228839</v>
      </c>
      <c r="S56" s="96">
        <f t="shared" si="35"/>
        <v>-6.7624568487305492</v>
      </c>
      <c r="T56" s="96">
        <f t="shared" si="35"/>
        <v>-6.7851738109901873</v>
      </c>
      <c r="U56" s="96">
        <f t="shared" si="35"/>
        <v>-9.777780373556201</v>
      </c>
      <c r="V56" s="96">
        <f t="shared" si="35"/>
        <v>-16.054152243029733</v>
      </c>
      <c r="W56" s="96">
        <f t="shared" si="35"/>
        <v>-15.82526958613766</v>
      </c>
      <c r="X56" s="96">
        <f t="shared" si="35"/>
        <v>-28.344223976276538</v>
      </c>
      <c r="Y56" s="96">
        <f t="shared" si="35"/>
        <v>-32.900176275686675</v>
      </c>
      <c r="Z56" s="96">
        <f t="shared" si="35"/>
        <v>-41.440831599298114</v>
      </c>
      <c r="AA56" s="96">
        <f t="shared" si="35"/>
        <v>-51.976224107626159</v>
      </c>
      <c r="AB56" s="96">
        <f t="shared" si="35"/>
        <v>-63.064164362059053</v>
      </c>
    </row>
    <row r="57" spans="1:29">
      <c r="A57" s="85" t="s">
        <v>469</v>
      </c>
      <c r="B57" s="81" t="s">
        <v>371</v>
      </c>
      <c r="C57" s="96">
        <f>IF(C2&gt;=Recycle_Lag,Divest_Rate*C51,0)</f>
        <v>0</v>
      </c>
      <c r="D57" s="96">
        <f t="shared" ref="D57:AB57" si="36">IF(D2&gt;=Recycle_Lag,Divest_Rate*C51,0)</f>
        <v>0</v>
      </c>
      <c r="E57" s="96">
        <f t="shared" si="36"/>
        <v>0</v>
      </c>
      <c r="F57" s="96">
        <f t="shared" si="36"/>
        <v>0</v>
      </c>
      <c r="G57" s="96">
        <f t="shared" si="36"/>
        <v>0</v>
      </c>
      <c r="H57" s="96">
        <f t="shared" si="36"/>
        <v>0</v>
      </c>
      <c r="I57" s="96">
        <f t="shared" si="36"/>
        <v>0</v>
      </c>
      <c r="J57" s="96">
        <f t="shared" si="36"/>
        <v>0</v>
      </c>
      <c r="K57" s="96">
        <f t="shared" si="36"/>
        <v>0</v>
      </c>
      <c r="L57" s="96">
        <f t="shared" si="36"/>
        <v>1.6600932794343218E-2</v>
      </c>
      <c r="M57" s="96">
        <f t="shared" si="36"/>
        <v>5.801998493158364E-2</v>
      </c>
      <c r="N57" s="96">
        <f t="shared" si="36"/>
        <v>7.6027387235699337E-2</v>
      </c>
      <c r="O57" s="96">
        <f t="shared" si="36"/>
        <v>0.12426978914583965</v>
      </c>
      <c r="P57" s="96">
        <f t="shared" si="36"/>
        <v>0.18315512140677148</v>
      </c>
      <c r="Q57" s="96">
        <f t="shared" si="36"/>
        <v>0.20589261078889107</v>
      </c>
      <c r="R57" s="96">
        <f t="shared" si="36"/>
        <v>0.28122331507926723</v>
      </c>
      <c r="S57" s="96">
        <f t="shared" si="36"/>
        <v>0.31877826307842483</v>
      </c>
      <c r="T57" s="96">
        <f t="shared" si="36"/>
        <v>0.35077281392142273</v>
      </c>
      <c r="U57" s="96">
        <f t="shared" si="36"/>
        <v>0.43578723946447862</v>
      </c>
      <c r="V57" s="96">
        <f t="shared" si="36"/>
        <v>0.43497631966476846</v>
      </c>
      <c r="W57" s="96">
        <f t="shared" si="36"/>
        <v>0.50298435137579833</v>
      </c>
      <c r="X57" s="96">
        <f t="shared" si="36"/>
        <v>0.55578153077757508</v>
      </c>
      <c r="Y57" s="96">
        <f t="shared" si="36"/>
        <v>0.54017023259871011</v>
      </c>
      <c r="Z57" s="96">
        <f t="shared" si="36"/>
        <v>0.64658678878384512</v>
      </c>
      <c r="AA57" s="96">
        <f t="shared" si="36"/>
        <v>0.62623487836048886</v>
      </c>
      <c r="AB57" s="96">
        <f t="shared" si="36"/>
        <v>0.65519496855754566</v>
      </c>
    </row>
    <row r="58" spans="1:29">
      <c r="A58" s="51" t="s">
        <v>470</v>
      </c>
      <c r="B58" s="81" t="s">
        <v>392</v>
      </c>
      <c r="C58" s="96">
        <f t="shared" ref="C58:AB58" si="37">IF(C2&gt;=Recycle_Lag,(C29-C53)*C57*Firm_CFp*8.76,0)</f>
        <v>0</v>
      </c>
      <c r="D58" s="96">
        <f t="shared" si="37"/>
        <v>0</v>
      </c>
      <c r="E58" s="96">
        <f t="shared" si="37"/>
        <v>0</v>
      </c>
      <c r="F58" s="96">
        <f t="shared" si="37"/>
        <v>0</v>
      </c>
      <c r="G58" s="96">
        <f t="shared" si="37"/>
        <v>0</v>
      </c>
      <c r="H58" s="96">
        <f t="shared" si="37"/>
        <v>0</v>
      </c>
      <c r="I58" s="96">
        <f t="shared" si="37"/>
        <v>0</v>
      </c>
      <c r="J58" s="96">
        <f t="shared" si="37"/>
        <v>0</v>
      </c>
      <c r="K58" s="96">
        <f t="shared" si="37"/>
        <v>0</v>
      </c>
      <c r="L58" s="96">
        <f t="shared" si="37"/>
        <v>-21.423541715742402</v>
      </c>
      <c r="M58" s="96">
        <f t="shared" si="37"/>
        <v>-74.974678967606735</v>
      </c>
      <c r="N58" s="96">
        <f t="shared" si="37"/>
        <v>-99.256654817797752</v>
      </c>
      <c r="O58" s="96">
        <f t="shared" si="37"/>
        <v>-162.22693556131841</v>
      </c>
      <c r="P58" s="96">
        <f t="shared" si="37"/>
        <v>-240.50494432744648</v>
      </c>
      <c r="Q58" s="96">
        <f t="shared" si="37"/>
        <v>-272.47784576693152</v>
      </c>
      <c r="R58" s="96">
        <f t="shared" si="37"/>
        <v>-371.2896512501701</v>
      </c>
      <c r="S58" s="96">
        <f t="shared" si="37"/>
        <v>-425.96480992561948</v>
      </c>
      <c r="T58" s="96">
        <f t="shared" si="37"/>
        <v>-468.11242589367924</v>
      </c>
      <c r="U58" s="96">
        <f t="shared" si="37"/>
        <v>-584.63712644934299</v>
      </c>
      <c r="V58" s="96">
        <f t="shared" si="37"/>
        <v>-589.34638228460449</v>
      </c>
      <c r="W58" s="96">
        <f t="shared" si="37"/>
        <v>-679.36920374293902</v>
      </c>
      <c r="X58" s="96">
        <f t="shared" si="37"/>
        <v>-761.84267259853607</v>
      </c>
      <c r="Y58" s="96">
        <f t="shared" si="37"/>
        <v>-741.32080789866768</v>
      </c>
      <c r="Z58" s="96">
        <f t="shared" si="37"/>
        <v>-891.47889150178912</v>
      </c>
      <c r="AA58" s="96">
        <f t="shared" si="37"/>
        <v>-866.95686582034375</v>
      </c>
      <c r="AB58" s="96">
        <f t="shared" si="37"/>
        <v>-911.32903441154804</v>
      </c>
    </row>
    <row r="59" spans="1:29" ht="15" customHeight="1">
      <c r="A59" s="55" t="s">
        <v>471</v>
      </c>
      <c r="B59" s="82" t="s">
        <v>392</v>
      </c>
      <c r="C59" s="97">
        <f t="shared" ref="C59:AB59" si="38">Admin_Cost</f>
        <v>-37</v>
      </c>
      <c r="D59" s="97">
        <f t="shared" si="38"/>
        <v>-37</v>
      </c>
      <c r="E59" s="97">
        <f t="shared" si="38"/>
        <v>-37</v>
      </c>
      <c r="F59" s="97">
        <f t="shared" si="38"/>
        <v>-37</v>
      </c>
      <c r="G59" s="97">
        <f t="shared" si="38"/>
        <v>-37</v>
      </c>
      <c r="H59" s="97">
        <f t="shared" si="38"/>
        <v>-37</v>
      </c>
      <c r="I59" s="97">
        <f t="shared" si="38"/>
        <v>-37</v>
      </c>
      <c r="J59" s="97">
        <f t="shared" si="38"/>
        <v>-37</v>
      </c>
      <c r="K59" s="97">
        <f t="shared" si="38"/>
        <v>-37</v>
      </c>
      <c r="L59" s="97">
        <f t="shared" si="38"/>
        <v>-37</v>
      </c>
      <c r="M59" s="97">
        <f t="shared" si="38"/>
        <v>-37</v>
      </c>
      <c r="N59" s="97">
        <f t="shared" si="38"/>
        <v>-37</v>
      </c>
      <c r="O59" s="97">
        <f t="shared" si="38"/>
        <v>-37</v>
      </c>
      <c r="P59" s="97">
        <f t="shared" si="38"/>
        <v>-37</v>
      </c>
      <c r="Q59" s="97">
        <f t="shared" si="38"/>
        <v>-37</v>
      </c>
      <c r="R59" s="97">
        <f t="shared" si="38"/>
        <v>-37</v>
      </c>
      <c r="S59" s="97">
        <f t="shared" si="38"/>
        <v>-37</v>
      </c>
      <c r="T59" s="97">
        <f t="shared" si="38"/>
        <v>-37</v>
      </c>
      <c r="U59" s="97">
        <f t="shared" si="38"/>
        <v>-37</v>
      </c>
      <c r="V59" s="97">
        <f t="shared" si="38"/>
        <v>-37</v>
      </c>
      <c r="W59" s="97">
        <f t="shared" si="38"/>
        <v>-37</v>
      </c>
      <c r="X59" s="97">
        <f t="shared" si="38"/>
        <v>-37</v>
      </c>
      <c r="Y59" s="97">
        <f t="shared" si="38"/>
        <v>-37</v>
      </c>
      <c r="Z59" s="97">
        <f t="shared" si="38"/>
        <v>-37</v>
      </c>
      <c r="AA59" s="97">
        <f t="shared" si="38"/>
        <v>-37</v>
      </c>
      <c r="AB59" s="97">
        <f t="shared" si="38"/>
        <v>-37</v>
      </c>
    </row>
    <row r="60" spans="1:29" ht="15" customHeight="1">
      <c r="A60" s="73" t="s">
        <v>472</v>
      </c>
      <c r="B60" s="83" t="s">
        <v>392</v>
      </c>
      <c r="C60" s="94">
        <f t="shared" ref="C60:AB60" si="39">IF(ESEM_On*(C2&gt;=ESEM_Start),C59+C56+C58,0)</f>
        <v>0</v>
      </c>
      <c r="D60" s="94">
        <f t="shared" si="39"/>
        <v>0</v>
      </c>
      <c r="E60" s="95">
        <f t="shared" si="39"/>
        <v>-37</v>
      </c>
      <c r="F60" s="95">
        <f t="shared" si="39"/>
        <v>-37</v>
      </c>
      <c r="G60" s="95">
        <f t="shared" si="39"/>
        <v>-37</v>
      </c>
      <c r="H60" s="95">
        <f t="shared" si="39"/>
        <v>-37</v>
      </c>
      <c r="I60" s="95">
        <f t="shared" si="39"/>
        <v>-37</v>
      </c>
      <c r="J60" s="95">
        <f t="shared" si="39"/>
        <v>-37</v>
      </c>
      <c r="K60" s="95">
        <f t="shared" si="39"/>
        <v>-37</v>
      </c>
      <c r="L60" s="95">
        <f t="shared" si="39"/>
        <v>-58.863073037687421</v>
      </c>
      <c r="M60" s="95">
        <f t="shared" si="39"/>
        <v>-112.55244029015506</v>
      </c>
      <c r="N60" s="95">
        <f t="shared" si="39"/>
        <v>-137.43434139062558</v>
      </c>
      <c r="O60" s="95">
        <f t="shared" si="39"/>
        <v>-200.4548489303595</v>
      </c>
      <c r="P60" s="95">
        <f t="shared" si="39"/>
        <v>-279.3913056744077</v>
      </c>
      <c r="Q60" s="95">
        <f t="shared" si="39"/>
        <v>-312.93575791414258</v>
      </c>
      <c r="R60" s="95">
        <f t="shared" si="39"/>
        <v>-411.21097533639892</v>
      </c>
      <c r="S60" s="95">
        <f t="shared" si="39"/>
        <v>-469.72726677435003</v>
      </c>
      <c r="T60" s="95">
        <f t="shared" si="39"/>
        <v>-511.89759970466946</v>
      </c>
      <c r="U60" s="95">
        <f t="shared" si="39"/>
        <v>-631.41490682289918</v>
      </c>
      <c r="V60" s="95">
        <f t="shared" si="39"/>
        <v>-642.40053452763425</v>
      </c>
      <c r="W60" s="95">
        <f t="shared" si="39"/>
        <v>-732.19447332907669</v>
      </c>
      <c r="X60" s="95">
        <f t="shared" si="39"/>
        <v>-827.18689657481264</v>
      </c>
      <c r="Y60" s="95">
        <f t="shared" si="39"/>
        <v>-811.22098417435438</v>
      </c>
      <c r="Z60" s="95">
        <f t="shared" si="39"/>
        <v>-969.91972310108724</v>
      </c>
      <c r="AA60" s="95">
        <f t="shared" si="39"/>
        <v>-955.93308992796995</v>
      </c>
      <c r="AB60" s="95">
        <f t="shared" si="39"/>
        <v>-1011.3931987736071</v>
      </c>
    </row>
    <row r="61" spans="1:29" ht="15" customHeight="1">
      <c r="A61" s="73" t="s">
        <v>473</v>
      </c>
      <c r="B61" s="83" t="s">
        <v>408</v>
      </c>
      <c r="C61" s="94">
        <f>0</f>
        <v>0</v>
      </c>
      <c r="D61" s="94">
        <f t="shared" ref="D61:AB61" si="40">C61+D60/1000</f>
        <v>0</v>
      </c>
      <c r="E61" s="95">
        <f t="shared" si="40"/>
        <v>-3.6999999999999998E-2</v>
      </c>
      <c r="F61" s="95">
        <f t="shared" si="40"/>
        <v>-7.3999999999999996E-2</v>
      </c>
      <c r="G61" s="95">
        <f t="shared" si="40"/>
        <v>-0.11099999999999999</v>
      </c>
      <c r="H61" s="95">
        <f t="shared" si="40"/>
        <v>-0.14799999999999999</v>
      </c>
      <c r="I61" s="95">
        <f t="shared" si="40"/>
        <v>-0.185</v>
      </c>
      <c r="J61" s="95">
        <f t="shared" si="40"/>
        <v>-0.222</v>
      </c>
      <c r="K61" s="95">
        <f t="shared" si="40"/>
        <v>-0.25900000000000001</v>
      </c>
      <c r="L61" s="95">
        <f t="shared" si="40"/>
        <v>-0.31786307303768746</v>
      </c>
      <c r="M61" s="95">
        <f t="shared" si="40"/>
        <v>-0.4304155133278425</v>
      </c>
      <c r="N61" s="95">
        <f t="shared" si="40"/>
        <v>-0.56784985471846805</v>
      </c>
      <c r="O61" s="95">
        <f t="shared" si="40"/>
        <v>-0.76830470364882752</v>
      </c>
      <c r="P61" s="95">
        <f t="shared" si="40"/>
        <v>-1.0476960093232353</v>
      </c>
      <c r="Q61" s="95">
        <f t="shared" si="40"/>
        <v>-1.3606317672373778</v>
      </c>
      <c r="R61" s="95">
        <f t="shared" si="40"/>
        <v>-1.7718427425737766</v>
      </c>
      <c r="S61" s="95">
        <f t="shared" si="40"/>
        <v>-2.2415700093481266</v>
      </c>
      <c r="T61" s="95">
        <f t="shared" si="40"/>
        <v>-2.7534676090527959</v>
      </c>
      <c r="U61" s="95">
        <f t="shared" si="40"/>
        <v>-3.3848825158756952</v>
      </c>
      <c r="V61" s="95">
        <f t="shared" si="40"/>
        <v>-4.0272830504033292</v>
      </c>
      <c r="W61" s="95">
        <f t="shared" si="40"/>
        <v>-4.7594775237324063</v>
      </c>
      <c r="X61" s="95">
        <f t="shared" si="40"/>
        <v>-5.5866644203072191</v>
      </c>
      <c r="Y61" s="95">
        <f t="shared" si="40"/>
        <v>-6.3978854044815732</v>
      </c>
      <c r="Z61" s="95">
        <f t="shared" si="40"/>
        <v>-7.3678051275826606</v>
      </c>
      <c r="AA61" s="95">
        <f t="shared" si="40"/>
        <v>-8.3237382175106305</v>
      </c>
      <c r="AB61" s="95">
        <f t="shared" si="40"/>
        <v>-9.3351314162842378</v>
      </c>
    </row>
    <row r="62" spans="1:29" ht="15" customHeight="1">
      <c r="A62" s="73" t="s">
        <v>474</v>
      </c>
      <c r="B62" s="83" t="s">
        <v>44</v>
      </c>
      <c r="C62" s="93">
        <f t="shared" ref="C62:AB62" si="41">IF(C9&gt;0,-C60/C9,0)</f>
        <v>0</v>
      </c>
      <c r="D62" s="93">
        <f t="shared" si="41"/>
        <v>0</v>
      </c>
      <c r="E62" s="93">
        <f t="shared" si="41"/>
        <v>0.19565073699517485</v>
      </c>
      <c r="F62" s="93">
        <f t="shared" si="41"/>
        <v>0.19087876780017057</v>
      </c>
      <c r="G62" s="93">
        <f t="shared" si="41"/>
        <v>0.18622318809772742</v>
      </c>
      <c r="H62" s="93">
        <f t="shared" si="41"/>
        <v>0.18168115911973409</v>
      </c>
      <c r="I62" s="93">
        <f t="shared" si="41"/>
        <v>0.17724991133632595</v>
      </c>
      <c r="J62" s="93">
        <f t="shared" si="41"/>
        <v>0.17292674276714728</v>
      </c>
      <c r="K62" s="93">
        <f t="shared" si="41"/>
        <v>0.16870901733380222</v>
      </c>
      <c r="L62" s="93">
        <f t="shared" si="41"/>
        <v>0.26185184467860445</v>
      </c>
      <c r="M62" s="93">
        <f t="shared" si="41"/>
        <v>0.48847659147221922</v>
      </c>
      <c r="N62" s="93">
        <f t="shared" si="41"/>
        <v>0.58191592323352104</v>
      </c>
      <c r="O62" s="93">
        <f t="shared" si="41"/>
        <v>0.8280521256002058</v>
      </c>
      <c r="P62" s="93">
        <f t="shared" si="41"/>
        <v>1.1259785884265503</v>
      </c>
      <c r="Q62" s="93">
        <f t="shared" si="41"/>
        <v>1.2304063688977445</v>
      </c>
      <c r="R62" s="93">
        <f t="shared" si="41"/>
        <v>1.5773723059108284</v>
      </c>
      <c r="S62" s="93">
        <f t="shared" si="41"/>
        <v>1.7578888824704955</v>
      </c>
      <c r="T62" s="93">
        <f t="shared" si="41"/>
        <v>1.868980956968074</v>
      </c>
      <c r="U62" s="93">
        <f t="shared" si="41"/>
        <v>2.2491206272477999</v>
      </c>
      <c r="V62" s="93">
        <f t="shared" si="41"/>
        <v>2.2324407744259767</v>
      </c>
      <c r="W62" s="93">
        <f t="shared" si="41"/>
        <v>2.4824278421920019</v>
      </c>
      <c r="X62" s="93">
        <f t="shared" si="41"/>
        <v>2.7360874108031479</v>
      </c>
      <c r="Y62" s="93">
        <f t="shared" si="41"/>
        <v>2.6178311580617444</v>
      </c>
      <c r="Z62" s="93">
        <f t="shared" si="41"/>
        <v>3.0536157122336265</v>
      </c>
      <c r="AA62" s="93">
        <f t="shared" si="41"/>
        <v>2.9361769203976502</v>
      </c>
      <c r="AB62" s="93">
        <f t="shared" si="41"/>
        <v>3.0307554091749371</v>
      </c>
    </row>
    <row r="63" spans="1:29" ht="16.149999999999999" customHeight="1">
      <c r="A63" s="106" t="s">
        <v>412</v>
      </c>
      <c r="B63" s="107"/>
    </row>
    <row r="64" spans="1:29" ht="15" customHeight="1">
      <c r="A64" s="58" t="s">
        <v>475</v>
      </c>
      <c r="B64" s="84" t="s">
        <v>44</v>
      </c>
      <c r="C64" s="94">
        <f t="shared" ref="C64:AB64" si="42">C27+C62</f>
        <v>112.22813980497169</v>
      </c>
      <c r="D64" s="95">
        <f t="shared" si="42"/>
        <v>114.62600551940098</v>
      </c>
      <c r="E64" s="95">
        <f t="shared" si="42"/>
        <v>122.56829243030812</v>
      </c>
      <c r="F64" s="95">
        <f t="shared" si="42"/>
        <v>97.363618309091621</v>
      </c>
      <c r="G64" s="95">
        <f t="shared" si="42"/>
        <v>94.769573233661049</v>
      </c>
      <c r="H64" s="95">
        <f t="shared" si="42"/>
        <v>107.24660717086073</v>
      </c>
      <c r="I64" s="95">
        <f t="shared" si="42"/>
        <v>102.49665693748791</v>
      </c>
      <c r="J64" s="95">
        <f t="shared" si="42"/>
        <v>101.16413258094806</v>
      </c>
      <c r="K64" s="95">
        <f t="shared" si="42"/>
        <v>98.021586592874073</v>
      </c>
      <c r="L64" s="95">
        <f t="shared" si="42"/>
        <v>94.862913819314414</v>
      </c>
      <c r="M64" s="95">
        <f t="shared" si="42"/>
        <v>95.695449079909793</v>
      </c>
      <c r="N64" s="95">
        <f t="shared" si="42"/>
        <v>93.340047517453243</v>
      </c>
      <c r="O64" s="95">
        <f t="shared" si="42"/>
        <v>94.06285756063258</v>
      </c>
      <c r="P64" s="95">
        <f t="shared" si="42"/>
        <v>93.21779409384861</v>
      </c>
      <c r="Q64" s="95">
        <f t="shared" si="42"/>
        <v>91.266440433264975</v>
      </c>
      <c r="R64" s="95">
        <f t="shared" si="42"/>
        <v>92.691211835045308</v>
      </c>
      <c r="S64" s="95">
        <f t="shared" si="42"/>
        <v>89.39385524698335</v>
      </c>
      <c r="T64" s="95">
        <f t="shared" si="42"/>
        <v>89.990232604045516</v>
      </c>
      <c r="U64" s="95">
        <f t="shared" si="42"/>
        <v>88.829955487748705</v>
      </c>
      <c r="V64" s="95">
        <f t="shared" si="42"/>
        <v>85.657126795155406</v>
      </c>
      <c r="W64" s="95">
        <f t="shared" si="42"/>
        <v>86.927678615804993</v>
      </c>
      <c r="X64" s="95">
        <f t="shared" si="42"/>
        <v>82.332218150365534</v>
      </c>
      <c r="Y64" s="95">
        <f t="shared" si="42"/>
        <v>81.603879170670908</v>
      </c>
      <c r="Z64" s="95">
        <f t="shared" si="42"/>
        <v>80.550091082370187</v>
      </c>
      <c r="AA64" s="95">
        <f t="shared" si="42"/>
        <v>78.985107732093695</v>
      </c>
      <c r="AB64" s="95">
        <f t="shared" si="42"/>
        <v>77.24363176983168</v>
      </c>
      <c r="AC64" s="100"/>
    </row>
    <row r="65" spans="1:28" ht="15" customHeight="1">
      <c r="A65" s="58" t="s">
        <v>476</v>
      </c>
      <c r="B65" s="84" t="s">
        <v>477</v>
      </c>
      <c r="C65" s="90">
        <f t="shared" ref="C65:AB65" si="43">IF(C22&gt;0,C27/C22,0)</f>
        <v>1</v>
      </c>
      <c r="D65" s="91">
        <f t="shared" si="43"/>
        <v>1.0879570446853941</v>
      </c>
      <c r="E65" s="91">
        <f t="shared" si="43"/>
        <v>1.205624900496894</v>
      </c>
      <c r="F65" s="91">
        <f t="shared" si="43"/>
        <v>0.99285466865690419</v>
      </c>
      <c r="G65" s="91">
        <f t="shared" si="43"/>
        <v>0.99416739409858867</v>
      </c>
      <c r="H65" s="91">
        <f t="shared" si="43"/>
        <v>1.1656083834622173</v>
      </c>
      <c r="I65" s="91">
        <f t="shared" si="43"/>
        <v>1.1516626673969868</v>
      </c>
      <c r="J65" s="91">
        <f t="shared" si="43"/>
        <v>1.1638234689282954</v>
      </c>
      <c r="K65" s="91">
        <f t="shared" si="43"/>
        <v>1.1550427849066507</v>
      </c>
      <c r="L65" s="91">
        <f t="shared" si="43"/>
        <v>1.1314679380756234</v>
      </c>
      <c r="M65" s="91">
        <f t="shared" si="43"/>
        <v>1.1551244471673385</v>
      </c>
      <c r="N65" s="91">
        <f t="shared" si="43"/>
        <v>1.1364983059801363</v>
      </c>
      <c r="O65" s="91">
        <f t="shared" si="43"/>
        <v>1.149853601953664</v>
      </c>
      <c r="P65" s="91">
        <f t="shared" si="43"/>
        <v>1.1467994548598268</v>
      </c>
      <c r="Q65" s="91">
        <f t="shared" si="43"/>
        <v>1.1272648108894556</v>
      </c>
      <c r="R65" s="91">
        <f t="shared" si="43"/>
        <v>1.1464295257186954</v>
      </c>
      <c r="S65" s="91">
        <f t="shared" si="43"/>
        <v>1.1076758380941585</v>
      </c>
      <c r="T65" s="91">
        <f t="shared" si="43"/>
        <v>1.1149822608597362</v>
      </c>
      <c r="U65" s="91">
        <f t="shared" si="43"/>
        <v>1.0978086919376011</v>
      </c>
      <c r="V65" s="91">
        <f t="shared" si="43"/>
        <v>1.058981584692984</v>
      </c>
      <c r="W65" s="91">
        <f t="shared" si="43"/>
        <v>1.0717825238011629</v>
      </c>
      <c r="X65" s="91">
        <f t="shared" si="43"/>
        <v>1.0119215298715944</v>
      </c>
      <c r="Y65" s="91">
        <f t="shared" si="43"/>
        <v>1.0016024863780488</v>
      </c>
      <c r="Z65" s="91">
        <f t="shared" si="43"/>
        <v>0.9843563996535285</v>
      </c>
      <c r="AA65" s="91">
        <f t="shared" si="43"/>
        <v>0.96612747852700598</v>
      </c>
      <c r="AB65" s="91">
        <f t="shared" si="43"/>
        <v>0.9414964957967108</v>
      </c>
    </row>
    <row r="67" spans="1:28">
      <c r="A67" t="s">
        <v>478</v>
      </c>
    </row>
    <row r="68" spans="1:28">
      <c r="A68" t="s">
        <v>479</v>
      </c>
      <c r="C68">
        <f>0</f>
        <v>0</v>
      </c>
      <c r="D68">
        <f t="shared" ref="D68:AB68" si="44">MAX(0,C68*(1-VRE_Dep)+D37*D22)</f>
        <v>125.13192086393255</v>
      </c>
      <c r="E68">
        <f t="shared" si="44"/>
        <v>404.77919989464249</v>
      </c>
      <c r="F68">
        <f t="shared" si="44"/>
        <v>404.77919989464249</v>
      </c>
      <c r="G68">
        <f t="shared" si="44"/>
        <v>404.77919989464249</v>
      </c>
      <c r="H68">
        <f t="shared" si="44"/>
        <v>587.45813259749514</v>
      </c>
      <c r="I68">
        <f t="shared" si="44"/>
        <v>743.43571269801555</v>
      </c>
      <c r="J68">
        <f t="shared" si="44"/>
        <v>904.64702130694377</v>
      </c>
      <c r="K68">
        <f t="shared" si="44"/>
        <v>1049.7532847688221</v>
      </c>
      <c r="L68">
        <f t="shared" si="44"/>
        <v>1168.8862558054527</v>
      </c>
      <c r="M68">
        <f t="shared" si="44"/>
        <v>1306.3070827622469</v>
      </c>
      <c r="N68">
        <f t="shared" si="44"/>
        <v>1424.3267630793562</v>
      </c>
      <c r="O68">
        <f t="shared" si="44"/>
        <v>1552.6366323360603</v>
      </c>
      <c r="P68">
        <f t="shared" si="44"/>
        <v>1675.8282740513464</v>
      </c>
      <c r="Q68">
        <f t="shared" si="44"/>
        <v>1780.9582463571951</v>
      </c>
      <c r="R68">
        <f t="shared" si="44"/>
        <v>1901.3098836186546</v>
      </c>
      <c r="S68">
        <f t="shared" si="44"/>
        <v>1988.1433470960308</v>
      </c>
      <c r="T68">
        <f t="shared" si="44"/>
        <v>2080.8509128610203</v>
      </c>
      <c r="U68">
        <f t="shared" si="44"/>
        <v>2159.0254850816063</v>
      </c>
      <c r="V68">
        <f t="shared" si="44"/>
        <v>2205.5670666936467</v>
      </c>
      <c r="W68">
        <f t="shared" si="44"/>
        <v>2262.4266853509862</v>
      </c>
      <c r="X68">
        <f t="shared" si="44"/>
        <v>2271.679493372636</v>
      </c>
      <c r="Y68">
        <f t="shared" si="44"/>
        <v>2272.9257942748568</v>
      </c>
      <c r="Z68">
        <f t="shared" si="44"/>
        <v>2272.9257942748568</v>
      </c>
      <c r="AA68">
        <f t="shared" si="44"/>
        <v>2272.9257942748568</v>
      </c>
      <c r="AB68">
        <f t="shared" si="44"/>
        <v>2272.9257942748568</v>
      </c>
    </row>
    <row r="69" spans="1:28">
      <c r="A69" t="s">
        <v>480</v>
      </c>
      <c r="C69">
        <f t="shared" ref="C69:AB69" si="45">IF(C40&gt;0,C68/C40,C22)</f>
        <v>0</v>
      </c>
      <c r="D69">
        <f t="shared" si="45"/>
        <v>39.254948796807732</v>
      </c>
      <c r="E69">
        <f t="shared" si="45"/>
        <v>68.112774342571811</v>
      </c>
      <c r="F69">
        <f t="shared" si="45"/>
        <v>68.112774342571811</v>
      </c>
      <c r="G69">
        <f t="shared" si="45"/>
        <v>68.112774342571811</v>
      </c>
      <c r="H69">
        <f t="shared" si="45"/>
        <v>74.065598602637252</v>
      </c>
      <c r="I69">
        <f t="shared" si="45"/>
        <v>76.744064204349002</v>
      </c>
      <c r="J69">
        <f t="shared" si="45"/>
        <v>78.35828165490004</v>
      </c>
      <c r="K69">
        <f t="shared" si="45"/>
        <v>79.179907452559434</v>
      </c>
      <c r="L69">
        <f t="shared" si="45"/>
        <v>79.609741408106999</v>
      </c>
      <c r="M69">
        <f t="shared" si="45"/>
        <v>79.896460892282263</v>
      </c>
      <c r="N69">
        <f t="shared" si="45"/>
        <v>80.036302097535156</v>
      </c>
      <c r="O69">
        <f t="shared" si="45"/>
        <v>80.121861788995389</v>
      </c>
      <c r="P69">
        <f t="shared" si="45"/>
        <v>80.135173774234289</v>
      </c>
      <c r="Q69">
        <f t="shared" si="45"/>
        <v>80.119545106279801</v>
      </c>
      <c r="R69">
        <f t="shared" si="45"/>
        <v>80.078511895726834</v>
      </c>
      <c r="S69">
        <f t="shared" si="45"/>
        <v>80.03602849548362</v>
      </c>
      <c r="T69">
        <f t="shared" si="45"/>
        <v>79.990834425644621</v>
      </c>
      <c r="U69">
        <f t="shared" si="45"/>
        <v>79.949582294107486</v>
      </c>
      <c r="V69">
        <f t="shared" si="45"/>
        <v>79.924504734453308</v>
      </c>
      <c r="W69">
        <f t="shared" si="45"/>
        <v>79.895580195811647</v>
      </c>
      <c r="X69">
        <f t="shared" si="45"/>
        <v>79.890462099231144</v>
      </c>
      <c r="Y69">
        <f t="shared" si="45"/>
        <v>79.889889510438678</v>
      </c>
      <c r="Z69">
        <f t="shared" si="45"/>
        <v>79.889889510438678</v>
      </c>
      <c r="AA69">
        <f t="shared" si="45"/>
        <v>79.889889510438678</v>
      </c>
      <c r="AB69">
        <f t="shared" si="45"/>
        <v>79.889889510438678</v>
      </c>
    </row>
    <row r="70" spans="1:28">
      <c r="A70" t="s">
        <v>481</v>
      </c>
      <c r="C70">
        <f>0</f>
        <v>0</v>
      </c>
      <c r="D70">
        <f>MAX(0,C70*(1-Firm_Decay)+D49*IFERROR('Building assets'!C92,Firm_LRMC))</f>
        <v>0</v>
      </c>
      <c r="E70">
        <f>MAX(0,D70*(1-Firm_Decay)+E49*IFERROR('Building assets'!D92,Firm_LRMC))</f>
        <v>0</v>
      </c>
      <c r="F70">
        <f>MAX(0,E70*(1-Firm_Decay)+F49*IFERROR('Building assets'!E92,Firm_LRMC))</f>
        <v>0</v>
      </c>
      <c r="G70">
        <f>MAX(0,F70*(1-Firm_Decay)+G49*IFERROR('Building assets'!F92,Firm_LRMC))</f>
        <v>0</v>
      </c>
      <c r="H70">
        <f>MAX(0,G70*(1-Firm_Decay)+H49*IFERROR('Building assets'!G92,Firm_LRMC))</f>
        <v>0</v>
      </c>
      <c r="I70">
        <f>MAX(0,H70*(1-Firm_Decay)+I49*IFERROR('Building assets'!H92,Firm_LRMC))</f>
        <v>0</v>
      </c>
      <c r="J70">
        <f>MAX(0,I70*(1-Firm_Decay)+J49*IFERROR('Building assets'!I92,Firm_LRMC))</f>
        <v>0</v>
      </c>
      <c r="K70">
        <f>MAX(0,J70*(1-Firm_Decay)+K49*IFERROR('Building assets'!J92,Firm_LRMC))</f>
        <v>0</v>
      </c>
      <c r="L70">
        <f>MAX(0,K70*(1-Firm_Decay)+L49*IFERROR('Building assets'!K92,Firm_LRMC))</f>
        <v>18.234061896813017</v>
      </c>
      <c r="M70">
        <f>MAX(0,L70*(1-Firm_Decay)+M49*IFERROR('Building assets'!L92,Firm_LRMC))</f>
        <v>46.460224207100055</v>
      </c>
      <c r="N70">
        <f>MAX(0,M70*(1-Firm_Decay)+N49*IFERROR('Building assets'!M92,Firm_LRMC))</f>
        <v>104.13741192527817</v>
      </c>
      <c r="O70">
        <f>MAX(0,N70*(1-Firm_Decay)+O49*IFERROR('Building assets'!N92,Firm_LRMC))</f>
        <v>148.42358034981902</v>
      </c>
      <c r="P70">
        <f>MAX(0,O70*(1-Firm_Decay)+P49*IFERROR('Building assets'!O92,Firm_LRMC))</f>
        <v>203.46159303766257</v>
      </c>
      <c r="Q70">
        <f>MAX(0,P70*(1-Firm_Decay)+Q49*IFERROR('Building assets'!P92,Firm_LRMC))</f>
        <v>274.56934206999875</v>
      </c>
      <c r="R70">
        <f>MAX(0,Q70*(1-Firm_Decay)+R49*IFERROR('Building assets'!Q92,Firm_LRMC))</f>
        <v>316.53655477389634</v>
      </c>
      <c r="S70">
        <f>MAX(0,R70*(1-Firm_Decay)+S49*IFERROR('Building assets'!R92,Firm_LRMC))</f>
        <v>392.29507028297985</v>
      </c>
      <c r="T70">
        <f>MAX(0,S70*(1-Firm_Decay)+T49*IFERROR('Building assets'!S92,Firm_LRMC))</f>
        <v>448.9303056867314</v>
      </c>
      <c r="U70">
        <f>MAX(0,T70*(1-Firm_Decay)+U49*IFERROR('Building assets'!T92,Firm_LRMC))</f>
        <v>493.33517528330515</v>
      </c>
      <c r="V70">
        <f>MAX(0,U70*(1-Firm_Decay)+V49*IFERROR('Building assets'!U92,Firm_LRMC))</f>
        <v>574.52014208541561</v>
      </c>
      <c r="W70">
        <f>MAX(0,V70*(1-Firm_Decay)+W49*IFERROR('Building assets'!V92,Firm_LRMC))</f>
        <v>602.6677341201688</v>
      </c>
      <c r="X70">
        <f>MAX(0,W70*(1-Firm_Decay)+X49*IFERROR('Building assets'!W92,Firm_LRMC))</f>
        <v>662.62444670557147</v>
      </c>
      <c r="Y70">
        <f>MAX(0,X70*(1-Firm_Decay)+Y49*IFERROR('Building assets'!X92,Firm_LRMC))</f>
        <v>720.22263580581739</v>
      </c>
      <c r="Z70">
        <f>MAX(0,Y70*(1-Firm_Decay)+Z49*IFERROR('Building assets'!Y92,Firm_LRMC))</f>
        <v>737.22771616174566</v>
      </c>
      <c r="AA70">
        <f>MAX(0,Z70*(1-Firm_Decay)+AA49*IFERROR('Building assets'!Z92,Firm_LRMC))</f>
        <v>798.49097743400716</v>
      </c>
      <c r="AB70">
        <f>MAX(0,AA70*(1-Firm_Decay)+AB49*IFERROR('Building assets'!AA92,Firm_LRMC))</f>
        <v>826.56002059388368</v>
      </c>
    </row>
    <row r="71" spans="1:28">
      <c r="A71" t="s">
        <v>482</v>
      </c>
      <c r="C71">
        <f>IF(C50&gt;0,C70/C50,IFERROR('Building assets'!B92,Firm_LRMC))</f>
        <v>250.48999580814328</v>
      </c>
      <c r="D71">
        <f>IF(D50&gt;0,D70/D50,IFERROR('Building assets'!C92,Firm_LRMC))</f>
        <v>245.92054755686866</v>
      </c>
      <c r="E71">
        <f>IF(E50&gt;0,E70/E50,IFERROR('Building assets'!D92,Firm_LRMC))</f>
        <v>239.60784159123492</v>
      </c>
      <c r="F71">
        <f>IF(F50&gt;0,F70/F50,IFERROR('Building assets'!E92,Firm_LRMC))</f>
        <v>233.71774355635489</v>
      </c>
      <c r="G71">
        <f>IF(G50&gt;0,G70/G50,IFERROR('Building assets'!F92,Firm_LRMC))</f>
        <v>228.17101446521229</v>
      </c>
      <c r="H71">
        <f>IF(H50&gt;0,H70/H50,IFERROR('Building assets'!G92,Firm_LRMC))</f>
        <v>222.99406731347921</v>
      </c>
      <c r="I71">
        <f>IF(I50&gt;0,I70/I50,IFERROR('Building assets'!H92,Firm_LRMC))</f>
        <v>218.02842412712295</v>
      </c>
      <c r="J71">
        <f>IF(J50&gt;0,J70/J50,IFERROR('Building assets'!I92,Firm_LRMC))</f>
        <v>213.37973688883201</v>
      </c>
      <c r="K71">
        <f>IF(K50&gt;0,K70/K50,IFERROR('Building assets'!J92,Firm_LRMC))</f>
        <v>208.99517960726212</v>
      </c>
      <c r="L71">
        <f>IF(L50&gt;0,L70/L50,IFERROR('Building assets'!K92,Firm_LRMC))</f>
        <v>206.22181506169082</v>
      </c>
      <c r="M71">
        <f>IF(M50&gt;0,M70/M50,IFERROR('Building assets'!L92,Firm_LRMC))</f>
        <v>205.4658298282144</v>
      </c>
      <c r="N71">
        <f>IF(N50&gt;0,N70/N50,IFERROR('Building assets'!M92,Firm_LRMC))</f>
        <v>205.31391536308661</v>
      </c>
      <c r="O71">
        <f>IF(O50&gt;0,O70/O50,IFERROR('Building assets'!N92,Firm_LRMC))</f>
        <v>205.34049170846745</v>
      </c>
      <c r="P71">
        <f>IF(P50&gt;0,P70/P50,IFERROR('Building assets'!O92,Firm_LRMC))</f>
        <v>205.4144914598896</v>
      </c>
      <c r="Q71">
        <f>IF(Q50&gt;0,Q70/Q50,IFERROR('Building assets'!P92,Firm_LRMC))</f>
        <v>205.52080755399894</v>
      </c>
      <c r="R71">
        <f>IF(R50&gt;0,R70/R50,IFERROR('Building assets'!Q92,Firm_LRMC))</f>
        <v>205.57862327359169</v>
      </c>
      <c r="S71">
        <f>IF(S50&gt;0,S70/S50,IFERROR('Building assets'!R92,Firm_LRMC))</f>
        <v>205.67713249417804</v>
      </c>
      <c r="T71">
        <f>IF(T50&gt;0,T70/T50,IFERROR('Building assets'!S92,Firm_LRMC))</f>
        <v>205.74568879892914</v>
      </c>
      <c r="U71">
        <f>IF(U50&gt;0,U70/U50,IFERROR('Building assets'!T92,Firm_LRMC))</f>
        <v>205.80264935502063</v>
      </c>
      <c r="V71">
        <f>IF(V50&gt;0,V70/V50,IFERROR('Building assets'!U92,Firm_LRMC))</f>
        <v>205.90264160367292</v>
      </c>
      <c r="W71">
        <f>IF(W50&gt;0,W70/W50,IFERROR('Building assets'!V92,Firm_LRMC))</f>
        <v>205.93594258507164</v>
      </c>
      <c r="X71">
        <f>IF(X50&gt;0,X70/X50,IFERROR('Building assets'!W92,Firm_LRMC))</f>
        <v>206.00934437248586</v>
      </c>
      <c r="Y71">
        <f>IF(Y50&gt;0,Y70/Y50,IFERROR('Building assets'!X92,Firm_LRMC))</f>
        <v>206.07887322671735</v>
      </c>
      <c r="Z71">
        <f>IF(Z50&gt;0,Z70/Z50,IFERROR('Building assets'!Y92,Firm_LRMC))</f>
        <v>206.10035258380287</v>
      </c>
      <c r="AA71">
        <f>IF(AA50&gt;0,AA70/AA50,IFERROR('Building assets'!Z92,Firm_LRMC))</f>
        <v>206.18022509678011</v>
      </c>
      <c r="AB71">
        <f>IF(AB50&gt;0,AB70/AB50,IFERROR('Building assets'!AA92,Firm_LRMC))</f>
        <v>206.21732478111988</v>
      </c>
    </row>
    <row r="73" spans="1:28">
      <c r="A73" t="s">
        <v>483</v>
      </c>
    </row>
    <row r="74" spans="1:28">
      <c r="A74" t="s">
        <v>484</v>
      </c>
    </row>
    <row r="76" spans="1:28">
      <c r="A76" t="s">
        <v>485</v>
      </c>
      <c r="C76">
        <f>IFERROR('Building assets'!B108,0)</f>
        <v>0</v>
      </c>
      <c r="D76">
        <f>IFERROR('Building assets'!C108,0)</f>
        <v>1.4266999999999999</v>
      </c>
      <c r="E76">
        <f>IFERROR('Building assets'!D108,0)</f>
        <v>1.4266999999999999</v>
      </c>
      <c r="F76">
        <f>IFERROR('Building assets'!E108,0)</f>
        <v>1.4266999999999999</v>
      </c>
      <c r="G76">
        <f>IFERROR('Building assets'!F108,0)</f>
        <v>1.4266999999999999</v>
      </c>
      <c r="H76">
        <f>IFERROR('Building assets'!G108,0)</f>
        <v>1.4266999999999999</v>
      </c>
      <c r="I76">
        <f>IFERROR('Building assets'!H108,0)</f>
        <v>1.4266999999999999</v>
      </c>
      <c r="J76">
        <f>IFERROR('Building assets'!I108,0)</f>
        <v>1.4266999999999999</v>
      </c>
      <c r="K76">
        <f>IFERROR('Building assets'!J108,0)</f>
        <v>1.4266999999999999</v>
      </c>
      <c r="L76">
        <f>IFERROR('Building assets'!K108,0)</f>
        <v>1.4209724221176778</v>
      </c>
      <c r="M76">
        <f>IFERROR('Building assets'!L108,0)</f>
        <v>1.4014267943358814</v>
      </c>
      <c r="N76">
        <f>IFERROR('Building assets'!M108,0)</f>
        <v>1.3690022108226547</v>
      </c>
      <c r="O76">
        <f>IFERROR('Building assets'!N108,0)</f>
        <v>1.3319884729837825</v>
      </c>
      <c r="P76">
        <f>IFERROR('Building assets'!O108,0)</f>
        <v>1.2858634813461893</v>
      </c>
      <c r="Q76">
        <f>IFERROR('Building assets'!P108,0)</f>
        <v>1.2365772604249463</v>
      </c>
      <c r="R76">
        <f>IFERROR('Building assets'!Q108,0)</f>
        <v>1.182430018663265</v>
      </c>
      <c r="S76">
        <f>IFERROR('Building assets'!R108,0)</f>
        <v>1.123291381885152</v>
      </c>
      <c r="T76">
        <f>IFERROR('Building assets'!S108,0)</f>
        <v>1.0642294048044334</v>
      </c>
      <c r="U76">
        <f>IFERROR('Building assets'!T108,0)</f>
        <v>1.0006032035988026</v>
      </c>
      <c r="V76">
        <f>IFERROR('Building assets'!U108,0)</f>
        <v>0.93789769637867793</v>
      </c>
      <c r="W76">
        <f>IFERROR('Building assets'!V108,0)</f>
        <v>0.8746868504133386</v>
      </c>
      <c r="X76">
        <f>IFERROR('Building assets'!W108,0)</f>
        <v>0.81050144355073861</v>
      </c>
      <c r="Y76">
        <f>IFERROR('Building assets'!X108,0)</f>
        <v>0.74943473051839782</v>
      </c>
      <c r="Z76">
        <f>IFERROR('Building assets'!Y108,0)</f>
        <v>0.68778176395474644</v>
      </c>
      <c r="AA76">
        <f>IFERROR('Building assets'!Z108,0)</f>
        <v>0.62911106038530795</v>
      </c>
      <c r="AB76">
        <f>IFERROR('Building assets'!AA108,0)</f>
        <v>0.57317953652638221</v>
      </c>
    </row>
    <row r="77" spans="1:28">
      <c r="A77" t="s">
        <v>486</v>
      </c>
      <c r="C77">
        <f t="shared" ref="C77:AB77" si="46">C15*C13/1000</f>
        <v>6.9361048666800009</v>
      </c>
      <c r="D77">
        <f t="shared" si="46"/>
        <v>7.089354613618994</v>
      </c>
      <c r="E77">
        <f t="shared" si="46"/>
        <v>7.2465835225604174</v>
      </c>
      <c r="F77">
        <f t="shared" si="46"/>
        <v>7.4078850870344741</v>
      </c>
      <c r="G77">
        <f t="shared" si="46"/>
        <v>7.5733551357838458</v>
      </c>
      <c r="H77">
        <f t="shared" si="46"/>
        <v>7.743091888933316</v>
      </c>
      <c r="I77">
        <f t="shared" si="46"/>
        <v>7.9171960155420873</v>
      </c>
      <c r="J77">
        <f t="shared" si="46"/>
        <v>8.0957706925723301</v>
      </c>
      <c r="K77">
        <f t="shared" si="46"/>
        <v>8.2456854077771915</v>
      </c>
      <c r="L77">
        <f t="shared" si="46"/>
        <v>8.3167733611399228</v>
      </c>
      <c r="M77">
        <f t="shared" si="46"/>
        <v>8.3091906258551891</v>
      </c>
      <c r="N77">
        <f t="shared" si="46"/>
        <v>8.2689620765836285</v>
      </c>
      <c r="O77">
        <f t="shared" si="46"/>
        <v>8.1651896825056305</v>
      </c>
      <c r="P77">
        <f t="shared" si="46"/>
        <v>8.0322568573572148</v>
      </c>
      <c r="Q77">
        <f t="shared" si="46"/>
        <v>7.8570564222611461</v>
      </c>
      <c r="R77">
        <f t="shared" si="46"/>
        <v>7.6360241314959953</v>
      </c>
      <c r="S77">
        <f t="shared" si="46"/>
        <v>7.4015402432039554</v>
      </c>
      <c r="T77">
        <f t="shared" si="46"/>
        <v>7.1200246009684847</v>
      </c>
      <c r="U77">
        <f t="shared" si="46"/>
        <v>6.8285398678721592</v>
      </c>
      <c r="V77">
        <f t="shared" si="46"/>
        <v>6.5162396614556934</v>
      </c>
      <c r="W77">
        <f t="shared" si="46"/>
        <v>6.1785833760786426</v>
      </c>
      <c r="X77">
        <f t="shared" si="46"/>
        <v>5.8462518816372162</v>
      </c>
      <c r="Y77">
        <f t="shared" si="46"/>
        <v>5.4906052426703686</v>
      </c>
      <c r="Z77">
        <f t="shared" si="46"/>
        <v>5.1397190359976381</v>
      </c>
      <c r="AA77">
        <f t="shared" si="46"/>
        <v>4.7924904840898046</v>
      </c>
      <c r="AB77">
        <f t="shared" si="46"/>
        <v>4.4522389042273733</v>
      </c>
    </row>
    <row r="78" spans="1:28">
      <c r="A78" t="s">
        <v>487</v>
      </c>
      <c r="C78">
        <f t="shared" ref="C78:AB78" si="47">C46*C48*VRE_CFe*8.76/1000</f>
        <v>0</v>
      </c>
      <c r="D78">
        <f t="shared" si="47"/>
        <v>0</v>
      </c>
      <c r="E78">
        <f t="shared" si="47"/>
        <v>0</v>
      </c>
      <c r="F78">
        <f t="shared" si="47"/>
        <v>0</v>
      </c>
      <c r="G78">
        <f t="shared" si="47"/>
        <v>0</v>
      </c>
      <c r="H78">
        <f t="shared" si="47"/>
        <v>0</v>
      </c>
      <c r="I78">
        <f t="shared" si="47"/>
        <v>0</v>
      </c>
      <c r="J78">
        <f t="shared" si="47"/>
        <v>0</v>
      </c>
      <c r="K78">
        <f t="shared" si="47"/>
        <v>0.16518902631579005</v>
      </c>
      <c r="L78">
        <f t="shared" si="47"/>
        <v>0.32330882557672919</v>
      </c>
      <c r="M78">
        <f t="shared" si="47"/>
        <v>0.52772054223362819</v>
      </c>
      <c r="N78">
        <f t="shared" si="47"/>
        <v>0.82664471465666067</v>
      </c>
      <c r="O78">
        <f t="shared" si="47"/>
        <v>1.0649345883542614</v>
      </c>
      <c r="P78">
        <f t="shared" si="47"/>
        <v>1.4600146423501388</v>
      </c>
      <c r="Q78">
        <f t="shared" si="47"/>
        <v>1.7658766133806343</v>
      </c>
      <c r="R78">
        <f t="shared" si="47"/>
        <v>2.1370922444152467</v>
      </c>
      <c r="S78">
        <f t="shared" si="47"/>
        <v>2.5886011557456077</v>
      </c>
      <c r="T78">
        <f t="shared" si="47"/>
        <v>2.89613277115089</v>
      </c>
      <c r="U78">
        <f t="shared" si="47"/>
        <v>3.4459651561888358</v>
      </c>
      <c r="V78">
        <f t="shared" si="47"/>
        <v>3.8379239325020231</v>
      </c>
      <c r="W78">
        <f t="shared" si="47"/>
        <v>4.3072929820157047</v>
      </c>
      <c r="X78">
        <f t="shared" si="47"/>
        <v>4.957749508561724</v>
      </c>
      <c r="Y78">
        <f t="shared" si="47"/>
        <v>5.3360779581091373</v>
      </c>
      <c r="Z78">
        <f t="shared" si="47"/>
        <v>6.1161478675748322</v>
      </c>
      <c r="AA78">
        <f t="shared" si="47"/>
        <v>6.7219330617279862</v>
      </c>
      <c r="AB78">
        <f t="shared" si="47"/>
        <v>7.3130413508380627</v>
      </c>
    </row>
    <row r="79" spans="1:28">
      <c r="A79" t="s">
        <v>488</v>
      </c>
      <c r="C79">
        <f t="shared" ref="C79:AB79" si="48">C40*C69*VRE_CFe*8.76/1000</f>
        <v>0</v>
      </c>
      <c r="D79">
        <f t="shared" si="48"/>
        <v>0.28817931427732008</v>
      </c>
      <c r="E79">
        <f t="shared" si="48"/>
        <v>0.93220811647416113</v>
      </c>
      <c r="F79">
        <f t="shared" si="48"/>
        <v>0.93220811647416113</v>
      </c>
      <c r="G79">
        <f t="shared" si="48"/>
        <v>0.93220811647416113</v>
      </c>
      <c r="H79">
        <f t="shared" si="48"/>
        <v>1.3529184292045615</v>
      </c>
      <c r="I79">
        <f t="shared" si="48"/>
        <v>1.7121354200863805</v>
      </c>
      <c r="J79">
        <f t="shared" si="48"/>
        <v>2.0834057086579763</v>
      </c>
      <c r="K79">
        <f t="shared" si="48"/>
        <v>2.4175860138357357</v>
      </c>
      <c r="L79">
        <f t="shared" si="48"/>
        <v>2.6919497226649804</v>
      </c>
      <c r="M79">
        <f t="shared" si="48"/>
        <v>3.0084304368297849</v>
      </c>
      <c r="N79">
        <f t="shared" si="48"/>
        <v>3.2802302326788091</v>
      </c>
      <c r="O79">
        <f t="shared" si="48"/>
        <v>3.5757283748164754</v>
      </c>
      <c r="P79">
        <f t="shared" si="48"/>
        <v>3.8594392184533466</v>
      </c>
      <c r="Q79">
        <f t="shared" si="48"/>
        <v>4.1015539651936059</v>
      </c>
      <c r="R79">
        <f t="shared" si="48"/>
        <v>4.3787242672132951</v>
      </c>
      <c r="S79">
        <f t="shared" si="48"/>
        <v>4.5787020809355461</v>
      </c>
      <c r="T79">
        <f t="shared" si="48"/>
        <v>4.7922079757225813</v>
      </c>
      <c r="U79">
        <f t="shared" si="48"/>
        <v>4.9722443282448783</v>
      </c>
      <c r="V79">
        <f t="shared" si="48"/>
        <v>5.0794297768637344</v>
      </c>
      <c r="W79">
        <f t="shared" si="48"/>
        <v>5.2103777060700622</v>
      </c>
      <c r="X79">
        <f t="shared" si="48"/>
        <v>5.2316869599551525</v>
      </c>
      <c r="Y79">
        <f t="shared" si="48"/>
        <v>5.234557195918172</v>
      </c>
      <c r="Z79">
        <f t="shared" si="48"/>
        <v>5.234557195918172</v>
      </c>
      <c r="AA79">
        <f t="shared" si="48"/>
        <v>5.234557195918172</v>
      </c>
      <c r="AB79">
        <f t="shared" si="48"/>
        <v>5.234557195918172</v>
      </c>
    </row>
    <row r="80" spans="1:28">
      <c r="A80" t="s">
        <v>489</v>
      </c>
      <c r="C80">
        <f t="shared" ref="C80:AB80" si="49">C51*C53*Firm_CFe*8.76/1000</f>
        <v>0</v>
      </c>
      <c r="D80">
        <f t="shared" si="49"/>
        <v>0</v>
      </c>
      <c r="E80">
        <f t="shared" si="49"/>
        <v>0</v>
      </c>
      <c r="F80">
        <f t="shared" si="49"/>
        <v>0</v>
      </c>
      <c r="G80">
        <f t="shared" si="49"/>
        <v>0</v>
      </c>
      <c r="H80">
        <f t="shared" si="49"/>
        <v>0</v>
      </c>
      <c r="I80">
        <f t="shared" si="49"/>
        <v>0</v>
      </c>
      <c r="J80">
        <f t="shared" si="49"/>
        <v>0</v>
      </c>
      <c r="K80">
        <f t="shared" si="49"/>
        <v>0.10522389893581338</v>
      </c>
      <c r="L80">
        <f t="shared" si="49"/>
        <v>0.36775578254124897</v>
      </c>
      <c r="M80">
        <f t="shared" si="49"/>
        <v>0.48189449411958019</v>
      </c>
      <c r="N80">
        <f t="shared" si="49"/>
        <v>0.78767572255411911</v>
      </c>
      <c r="O80">
        <f t="shared" si="49"/>
        <v>1.1609164510954351</v>
      </c>
      <c r="P80">
        <f t="shared" si="49"/>
        <v>1.305036502326143</v>
      </c>
      <c r="Q80">
        <f t="shared" si="49"/>
        <v>1.782515118329888</v>
      </c>
      <c r="R80">
        <f t="shared" si="49"/>
        <v>2.0205546370579937</v>
      </c>
      <c r="S80">
        <f t="shared" si="49"/>
        <v>2.2233499514000599</v>
      </c>
      <c r="T80">
        <f t="shared" si="49"/>
        <v>2.762208184985401</v>
      </c>
      <c r="U80">
        <f t="shared" si="49"/>
        <v>2.7570682242309772</v>
      </c>
      <c r="V80">
        <f t="shared" si="49"/>
        <v>3.1881325712912485</v>
      </c>
      <c r="W80">
        <f t="shared" si="49"/>
        <v>3.5227839513246422</v>
      </c>
      <c r="X80">
        <f t="shared" si="49"/>
        <v>3.4238327850149104</v>
      </c>
      <c r="Y80">
        <f t="shared" si="49"/>
        <v>4.0983469880323176</v>
      </c>
      <c r="Z80">
        <f t="shared" si="49"/>
        <v>3.9693477690084507</v>
      </c>
      <c r="AA80">
        <f t="shared" si="49"/>
        <v>4.1529093580961147</v>
      </c>
      <c r="AB80">
        <f t="shared" si="49"/>
        <v>4.7389040365750468</v>
      </c>
    </row>
    <row r="81" spans="1:28">
      <c r="A81" t="s">
        <v>490</v>
      </c>
      <c r="C81">
        <f t="shared" ref="C81:AB81" si="50">C50*C71*Firm_CFe*8.76/1000</f>
        <v>0</v>
      </c>
      <c r="D81">
        <f t="shared" si="50"/>
        <v>0</v>
      </c>
      <c r="E81">
        <f t="shared" si="50"/>
        <v>0</v>
      </c>
      <c r="F81">
        <f t="shared" si="50"/>
        <v>0</v>
      </c>
      <c r="G81">
        <f t="shared" si="50"/>
        <v>0</v>
      </c>
      <c r="H81">
        <f t="shared" si="50"/>
        <v>0</v>
      </c>
      <c r="I81">
        <f t="shared" si="50"/>
        <v>0</v>
      </c>
      <c r="J81">
        <f t="shared" si="50"/>
        <v>0</v>
      </c>
      <c r="K81">
        <f t="shared" si="50"/>
        <v>0</v>
      </c>
      <c r="L81">
        <f t="shared" si="50"/>
        <v>3.5140684087538052E-2</v>
      </c>
      <c r="M81">
        <f t="shared" si="50"/>
        <v>8.9538144091923219E-2</v>
      </c>
      <c r="N81">
        <f t="shared" si="50"/>
        <v>0.20069362026239609</v>
      </c>
      <c r="O81">
        <f t="shared" si="50"/>
        <v>0.28604192405017126</v>
      </c>
      <c r="P81">
        <f t="shared" si="50"/>
        <v>0.39211118210218326</v>
      </c>
      <c r="Q81">
        <f t="shared" si="50"/>
        <v>0.5291500360373016</v>
      </c>
      <c r="R81">
        <f t="shared" si="50"/>
        <v>0.61002924836025307</v>
      </c>
      <c r="S81">
        <f t="shared" si="50"/>
        <v>0.75603105944935878</v>
      </c>
      <c r="T81">
        <f t="shared" si="50"/>
        <v>0.86517848511946871</v>
      </c>
      <c r="U81">
        <f t="shared" si="50"/>
        <v>0.95075554980598564</v>
      </c>
      <c r="V81">
        <f t="shared" si="50"/>
        <v>1.1072152178270129</v>
      </c>
      <c r="W81">
        <f t="shared" si="50"/>
        <v>1.1614612571963892</v>
      </c>
      <c r="X81">
        <f t="shared" si="50"/>
        <v>1.2770098336909772</v>
      </c>
      <c r="Y81">
        <f t="shared" si="50"/>
        <v>1.3880130637249712</v>
      </c>
      <c r="Z81">
        <f t="shared" si="50"/>
        <v>1.4207852545869164</v>
      </c>
      <c r="AA81">
        <f t="shared" si="50"/>
        <v>1.5388518117108185</v>
      </c>
      <c r="AB81">
        <f t="shared" si="50"/>
        <v>1.5929464716885327</v>
      </c>
    </row>
    <row r="82" spans="1:28">
      <c r="A82" t="s">
        <v>491</v>
      </c>
      <c r="C82">
        <f t="shared" ref="C82:AB82" si="51">(C18+C44+C50)*Firm_Gen_CF*8.76*Firm_VC/1000</f>
        <v>1.1563200000000002</v>
      </c>
      <c r="D82">
        <f t="shared" si="51"/>
        <v>1.1563200000000002</v>
      </c>
      <c r="E82">
        <f t="shared" si="51"/>
        <v>1.1563200000000002</v>
      </c>
      <c r="F82">
        <f t="shared" si="51"/>
        <v>1.1563200000000002</v>
      </c>
      <c r="G82">
        <f t="shared" si="51"/>
        <v>1.1563200000000002</v>
      </c>
      <c r="H82">
        <f t="shared" si="51"/>
        <v>1.167663085359719</v>
      </c>
      <c r="I82">
        <f t="shared" si="51"/>
        <v>1.1968364403317233</v>
      </c>
      <c r="J82">
        <f t="shared" si="51"/>
        <v>1.2121900685860834</v>
      </c>
      <c r="K82">
        <f t="shared" si="51"/>
        <v>1.2491491364363523</v>
      </c>
      <c r="L82">
        <f t="shared" si="51"/>
        <v>1.3005632634875615</v>
      </c>
      <c r="M82">
        <f t="shared" si="51"/>
        <v>1.3329635728878979</v>
      </c>
      <c r="N82">
        <f t="shared" si="51"/>
        <v>1.4100313042315809</v>
      </c>
      <c r="O82">
        <f t="shared" si="51"/>
        <v>1.4618052098194798</v>
      </c>
      <c r="P82">
        <f t="shared" si="51"/>
        <v>1.514490481307504</v>
      </c>
      <c r="Q82">
        <f t="shared" si="51"/>
        <v>1.6091739595883503</v>
      </c>
      <c r="R82">
        <f t="shared" si="51"/>
        <v>1.6422348025369928</v>
      </c>
      <c r="S82">
        <f t="shared" si="51"/>
        <v>1.730886722264946</v>
      </c>
      <c r="T82">
        <f t="shared" si="51"/>
        <v>1.8078335265205694</v>
      </c>
      <c r="U82">
        <f t="shared" si="51"/>
        <v>1.8376873473962441</v>
      </c>
      <c r="V82">
        <f t="shared" si="51"/>
        <v>1.9594535974259548</v>
      </c>
      <c r="W82">
        <f t="shared" si="51"/>
        <v>1.9866923997135708</v>
      </c>
      <c r="X82">
        <f t="shared" si="51"/>
        <v>2.0546373496460681</v>
      </c>
      <c r="Y82">
        <f t="shared" si="51"/>
        <v>2.1668776030829568</v>
      </c>
      <c r="Z82">
        <f t="shared" si="51"/>
        <v>2.1711951185104694</v>
      </c>
      <c r="AA82">
        <f t="shared" si="51"/>
        <v>2.2731456350901822</v>
      </c>
      <c r="AB82">
        <f t="shared" si="51"/>
        <v>2.3458272390279733</v>
      </c>
    </row>
    <row r="84" spans="1:28">
      <c r="A84" t="s">
        <v>492</v>
      </c>
      <c r="C84">
        <f t="shared" ref="C84:AB84" si="52">SUM(C76:C82)</f>
        <v>8.0924248666800018</v>
      </c>
      <c r="D84">
        <f t="shared" si="52"/>
        <v>9.9605539278963153</v>
      </c>
      <c r="E84">
        <f t="shared" si="52"/>
        <v>10.76181163903458</v>
      </c>
      <c r="F84">
        <f t="shared" si="52"/>
        <v>10.923113203508636</v>
      </c>
      <c r="G84">
        <f t="shared" si="52"/>
        <v>11.088583252258008</v>
      </c>
      <c r="H84">
        <f t="shared" si="52"/>
        <v>11.690373403497597</v>
      </c>
      <c r="I84">
        <f t="shared" si="52"/>
        <v>12.252867875960192</v>
      </c>
      <c r="J84">
        <f t="shared" si="52"/>
        <v>12.81806646981639</v>
      </c>
      <c r="K84">
        <f t="shared" si="52"/>
        <v>13.609533483300885</v>
      </c>
      <c r="L84">
        <f t="shared" si="52"/>
        <v>14.456464061615661</v>
      </c>
      <c r="M84">
        <f t="shared" si="52"/>
        <v>15.151164610353884</v>
      </c>
      <c r="N84">
        <f t="shared" si="52"/>
        <v>16.143239881789849</v>
      </c>
      <c r="O84">
        <f t="shared" si="52"/>
        <v>17.046604703625235</v>
      </c>
      <c r="P84">
        <f t="shared" si="52"/>
        <v>17.849212365242717</v>
      </c>
      <c r="Q84">
        <f t="shared" si="52"/>
        <v>18.88190337521587</v>
      </c>
      <c r="R84">
        <f t="shared" si="52"/>
        <v>19.607089349743042</v>
      </c>
      <c r="S84">
        <f t="shared" si="52"/>
        <v>20.402402594884624</v>
      </c>
      <c r="T84">
        <f t="shared" si="52"/>
        <v>21.307814949271826</v>
      </c>
      <c r="U84">
        <f t="shared" si="52"/>
        <v>21.792863677337884</v>
      </c>
      <c r="V84">
        <f t="shared" si="52"/>
        <v>22.626292453744345</v>
      </c>
      <c r="W84">
        <f t="shared" si="52"/>
        <v>23.24187852281235</v>
      </c>
      <c r="X84">
        <f t="shared" si="52"/>
        <v>23.601669762056783</v>
      </c>
      <c r="Y84">
        <f t="shared" si="52"/>
        <v>24.463912782056322</v>
      </c>
      <c r="Z84">
        <f t="shared" si="52"/>
        <v>24.739534005551224</v>
      </c>
      <c r="AA84">
        <f t="shared" si="52"/>
        <v>25.342998607018384</v>
      </c>
      <c r="AB84">
        <f t="shared" si="52"/>
        <v>26.250694734801542</v>
      </c>
    </row>
    <row r="85" spans="1:28">
      <c r="A85" t="s">
        <v>493</v>
      </c>
      <c r="C85">
        <f t="shared" ref="C85:AB85" si="53">IF(C9&gt;0,C84*1000/C9,0)</f>
        <v>44.957915926000013</v>
      </c>
      <c r="D85">
        <f t="shared" si="53"/>
        <v>53.986742156619606</v>
      </c>
      <c r="E85">
        <f t="shared" si="53"/>
        <v>56.906929150820709</v>
      </c>
      <c r="F85">
        <f t="shared" si="53"/>
        <v>56.351091589932494</v>
      </c>
      <c r="G85">
        <f t="shared" si="53"/>
        <v>55.809495262771705</v>
      </c>
      <c r="H85">
        <f t="shared" si="53"/>
        <v>57.403259202431194</v>
      </c>
      <c r="I85">
        <f t="shared" si="53"/>
        <v>58.697830935936771</v>
      </c>
      <c r="J85">
        <f t="shared" si="53"/>
        <v>59.907742789138773</v>
      </c>
      <c r="K85">
        <f t="shared" si="53"/>
        <v>62.055432982139742</v>
      </c>
      <c r="L85">
        <f t="shared" si="53"/>
        <v>64.309448805711426</v>
      </c>
      <c r="M85">
        <f t="shared" si="53"/>
        <v>65.755919877176964</v>
      </c>
      <c r="N85">
        <f t="shared" si="53"/>
        <v>68.352700240266913</v>
      </c>
      <c r="O85">
        <f t="shared" si="53"/>
        <v>70.417240263453209</v>
      </c>
      <c r="P85">
        <f t="shared" si="53"/>
        <v>71.934346328453728</v>
      </c>
      <c r="Q85">
        <f t="shared" si="53"/>
        <v>74.240202924178135</v>
      </c>
      <c r="R85">
        <f t="shared" si="53"/>
        <v>75.211221477011534</v>
      </c>
      <c r="S85">
        <f t="shared" si="53"/>
        <v>76.353150506938647</v>
      </c>
      <c r="T85">
        <f t="shared" si="53"/>
        <v>77.79661478734107</v>
      </c>
      <c r="U85">
        <f t="shared" si="53"/>
        <v>77.626895871255954</v>
      </c>
      <c r="V85">
        <f t="shared" si="53"/>
        <v>78.629850277082511</v>
      </c>
      <c r="W85">
        <f t="shared" si="53"/>
        <v>78.799128444039397</v>
      </c>
      <c r="X85">
        <f t="shared" si="53"/>
        <v>78.067280535138977</v>
      </c>
      <c r="Y85">
        <f t="shared" si="53"/>
        <v>78.945681113208835</v>
      </c>
      <c r="Z85">
        <f t="shared" si="53"/>
        <v>77.887919951923536</v>
      </c>
      <c r="AA85">
        <f t="shared" si="53"/>
        <v>77.841774060990119</v>
      </c>
      <c r="AB85">
        <f t="shared" si="53"/>
        <v>78.663209480320631</v>
      </c>
    </row>
    <row r="86" spans="1:28">
      <c r="A86" t="s">
        <v>494</v>
      </c>
      <c r="C86">
        <f>C84/1000</f>
        <v>8.0924248666800012E-3</v>
      </c>
      <c r="D86">
        <f t="shared" ref="D86:AB86" si="54">C86+D84/1000</f>
        <v>1.8052978794576319E-2</v>
      </c>
      <c r="E86">
        <f t="shared" si="54"/>
        <v>2.8814790433610897E-2</v>
      </c>
      <c r="F86">
        <f t="shared" si="54"/>
        <v>3.9737903637119536E-2</v>
      </c>
      <c r="G86">
        <f t="shared" si="54"/>
        <v>5.0826486889377548E-2</v>
      </c>
      <c r="H86">
        <f t="shared" si="54"/>
        <v>6.2516860292875148E-2</v>
      </c>
      <c r="I86">
        <f t="shared" si="54"/>
        <v>7.4769728168835342E-2</v>
      </c>
      <c r="J86">
        <f t="shared" si="54"/>
        <v>8.7587794638651739E-2</v>
      </c>
      <c r="K86">
        <f t="shared" si="54"/>
        <v>0.10119732812195262</v>
      </c>
      <c r="L86">
        <f t="shared" si="54"/>
        <v>0.11565379218356828</v>
      </c>
      <c r="M86">
        <f t="shared" si="54"/>
        <v>0.13080495679392215</v>
      </c>
      <c r="N86">
        <f t="shared" si="54"/>
        <v>0.14694819667571199</v>
      </c>
      <c r="O86">
        <f t="shared" si="54"/>
        <v>0.16399480137933722</v>
      </c>
      <c r="P86">
        <f t="shared" si="54"/>
        <v>0.18184401374457995</v>
      </c>
      <c r="Q86">
        <f t="shared" si="54"/>
        <v>0.20072591711979582</v>
      </c>
      <c r="R86">
        <f t="shared" si="54"/>
        <v>0.22033300646953885</v>
      </c>
      <c r="S86">
        <f t="shared" si="54"/>
        <v>0.24073540906442348</v>
      </c>
      <c r="T86">
        <f t="shared" si="54"/>
        <v>0.26204322401369529</v>
      </c>
      <c r="U86">
        <f t="shared" si="54"/>
        <v>0.28383608769103319</v>
      </c>
      <c r="V86">
        <f t="shared" si="54"/>
        <v>0.30646238014477756</v>
      </c>
      <c r="W86">
        <f t="shared" si="54"/>
        <v>0.3297042586675899</v>
      </c>
      <c r="X86">
        <f t="shared" si="54"/>
        <v>0.3533059284296467</v>
      </c>
      <c r="Y86">
        <f t="shared" si="54"/>
        <v>0.37776984121170304</v>
      </c>
      <c r="Z86">
        <f t="shared" si="54"/>
        <v>0.40250937521725427</v>
      </c>
      <c r="AA86">
        <f t="shared" si="54"/>
        <v>0.42785237382427266</v>
      </c>
      <c r="AB86">
        <f>AA86+AB84/1000</f>
        <v>0.45410306855907417</v>
      </c>
    </row>
  </sheetData>
  <mergeCells count="11">
    <mergeCell ref="A5:B5"/>
    <mergeCell ref="A42:B42"/>
    <mergeCell ref="A1:AB1"/>
    <mergeCell ref="A17:B17"/>
    <mergeCell ref="A12:B12"/>
    <mergeCell ref="A21:B21"/>
    <mergeCell ref="A54:B54"/>
    <mergeCell ref="A25:B25"/>
    <mergeCell ref="A33:B33"/>
    <mergeCell ref="A63:B63"/>
    <mergeCell ref="A45:B45"/>
  </mergeCells>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4"/>
  <sheetViews>
    <sheetView showGridLines="0" topLeftCell="A2" workbookViewId="0">
      <selection activeCell="E24" sqref="E24"/>
    </sheetView>
  </sheetViews>
  <sheetFormatPr defaultRowHeight="15"/>
  <cols>
    <col min="1" max="1" width="28" customWidth="1"/>
    <col min="2" max="2" width="2" customWidth="1"/>
    <col min="3" max="6" width="16" customWidth="1"/>
  </cols>
  <sheetData>
    <row r="1" spans="1:6" ht="16.149999999999999" customHeight="1">
      <c r="A1" s="105" t="s">
        <v>495</v>
      </c>
      <c r="B1" s="102"/>
      <c r="C1" s="102"/>
      <c r="D1" s="102"/>
      <c r="E1" s="102"/>
      <c r="F1" s="102"/>
    </row>
    <row r="2" spans="1:6">
      <c r="A2" s="103" t="s">
        <v>496</v>
      </c>
      <c r="B2" s="102"/>
      <c r="C2" s="102"/>
      <c r="D2" s="102"/>
      <c r="E2" s="102"/>
      <c r="F2" s="102"/>
    </row>
    <row r="4" spans="1:6" ht="16.149999999999999" customHeight="1">
      <c r="A4" s="50" t="s">
        <v>497</v>
      </c>
    </row>
    <row r="5" spans="1:6" ht="24" customHeight="1">
      <c r="A5" s="48" t="s">
        <v>498</v>
      </c>
      <c r="C5" s="61">
        <f>Scenario_Num</f>
        <v>1</v>
      </c>
      <c r="D5" s="46" t="s">
        <v>499</v>
      </c>
    </row>
    <row r="7" spans="1:6" ht="16.149999999999999" customHeight="1">
      <c r="A7" s="50" t="s">
        <v>500</v>
      </c>
      <c r="C7" s="47" t="s">
        <v>501</v>
      </c>
      <c r="D7" s="47" t="s">
        <v>502</v>
      </c>
      <c r="E7" s="47" t="s">
        <v>503</v>
      </c>
      <c r="F7" s="47" t="s">
        <v>504</v>
      </c>
    </row>
    <row r="8" spans="1:6" ht="16.149999999999999" customHeight="1">
      <c r="A8" s="101" t="s">
        <v>505</v>
      </c>
      <c r="B8" s="102"/>
      <c r="C8" s="102"/>
      <c r="D8" s="102"/>
      <c r="E8" s="102"/>
      <c r="F8" s="102"/>
    </row>
    <row r="9" spans="1:6">
      <c r="A9" s="51" t="s">
        <v>506</v>
      </c>
      <c r="C9" s="62">
        <f>Model!G9</f>
        <v>198.68632031249996</v>
      </c>
      <c r="D9" s="62">
        <f>Model!L9</f>
        <v>224.79533459057978</v>
      </c>
      <c r="E9" s="62">
        <f>Model!Q9</f>
        <v>254.33528777527789</v>
      </c>
      <c r="F9" s="62">
        <f>Model!V9</f>
        <v>287.75703341684999</v>
      </c>
    </row>
    <row r="10" spans="1:6">
      <c r="A10" s="46" t="s">
        <v>507</v>
      </c>
      <c r="C10" s="63">
        <f>Baseline!H9</f>
        <v>198.68632031249996</v>
      </c>
      <c r="D10" s="63">
        <f>Baseline!M9</f>
        <v>224.79533459057978</v>
      </c>
      <c r="E10" s="63">
        <f>Baseline!R9</f>
        <v>254.33528777527789</v>
      </c>
      <c r="F10" s="63">
        <f>Baseline!W9</f>
        <v>287.75703341684999</v>
      </c>
    </row>
    <row r="11" spans="1:6">
      <c r="A11" s="51" t="s">
        <v>508</v>
      </c>
      <c r="C11" s="62">
        <f>Model!G14</f>
        <v>22</v>
      </c>
      <c r="D11" s="62">
        <f>Model!L14</f>
        <v>21.610282102326622</v>
      </c>
      <c r="E11" s="62">
        <f>Model!Q14</f>
        <v>18.233307920790516</v>
      </c>
      <c r="F11" s="62">
        <f>Model!V14</f>
        <v>13.487846575379162</v>
      </c>
    </row>
    <row r="12" spans="1:6">
      <c r="A12" s="46" t="s">
        <v>507</v>
      </c>
      <c r="C12" s="63" t="e">
        <f>Baseline!H14</f>
        <v>#REF!</v>
      </c>
      <c r="D12" s="63" t="e">
        <f>Baseline!M14</f>
        <v>#REF!</v>
      </c>
      <c r="E12" s="63" t="e">
        <f>Baseline!R14</f>
        <v>#REF!</v>
      </c>
      <c r="F12" s="63" t="e">
        <f>Baseline!W14</f>
        <v>#REF!</v>
      </c>
    </row>
    <row r="13" spans="1:6">
      <c r="A13" s="51" t="s">
        <v>509</v>
      </c>
      <c r="C13" s="62">
        <f>Model!G23</f>
        <v>44.942779512383595</v>
      </c>
      <c r="D13" s="62">
        <f>Model!L23</f>
        <v>59.544497652138801</v>
      </c>
      <c r="E13" s="62">
        <f>Model!Q23</f>
        <v>79.83992820630364</v>
      </c>
      <c r="F13" s="62">
        <f>Model!V23</f>
        <v>105.03199082696966</v>
      </c>
    </row>
    <row r="14" spans="1:6">
      <c r="A14" s="46" t="s">
        <v>507</v>
      </c>
      <c r="C14" s="63" t="e">
        <f>Baseline!H23</f>
        <v>#REF!</v>
      </c>
      <c r="D14" s="63" t="e">
        <f>Baseline!M23</f>
        <v>#REF!</v>
      </c>
      <c r="E14" s="63" t="e">
        <f>Baseline!R23</f>
        <v>#REF!</v>
      </c>
      <c r="F14" s="63" t="e">
        <f>Baseline!W23</f>
        <v>#REF!</v>
      </c>
    </row>
    <row r="16" spans="1:6" ht="16.149999999999999" customHeight="1">
      <c r="A16" s="101" t="s">
        <v>510</v>
      </c>
      <c r="B16" s="102"/>
      <c r="C16" s="102"/>
      <c r="D16" s="102"/>
      <c r="E16" s="102"/>
      <c r="F16" s="102"/>
    </row>
    <row r="17" spans="1:6">
      <c r="A17" s="51" t="s">
        <v>511</v>
      </c>
      <c r="C17" s="62">
        <f>Model!G27</f>
        <v>94.583350045563321</v>
      </c>
      <c r="D17" s="62">
        <f>Model!L27</f>
        <v>94.601061974635812</v>
      </c>
      <c r="E17" s="62">
        <f>Model!Q27</f>
        <v>90.036034064367229</v>
      </c>
      <c r="F17" s="62">
        <f>Model!V27</f>
        <v>83.424686020729425</v>
      </c>
    </row>
    <row r="18" spans="1:6">
      <c r="A18" s="46" t="s">
        <v>507</v>
      </c>
      <c r="C18" s="63" t="e">
        <f>Baseline!H27</f>
        <v>#REF!</v>
      </c>
      <c r="D18" s="63" t="e">
        <f>Baseline!M27</f>
        <v>#REF!</v>
      </c>
      <c r="E18" s="63" t="e">
        <f>Baseline!R27</f>
        <v>#REF!</v>
      </c>
      <c r="F18" s="63" t="e">
        <f>Baseline!W27</f>
        <v>#REF!</v>
      </c>
    </row>
    <row r="19" spans="1:6">
      <c r="A19" s="51" t="s">
        <v>512</v>
      </c>
      <c r="C19" s="62">
        <f>Model!G29</f>
        <v>94.861410642587586</v>
      </c>
      <c r="D19" s="62">
        <f>Model!L29</f>
        <v>89.308659630583264</v>
      </c>
      <c r="E19" s="62">
        <f>Model!Q29</f>
        <v>85.136209116944144</v>
      </c>
      <c r="F19" s="62">
        <f>Model!V29</f>
        <v>81.141391621155989</v>
      </c>
    </row>
    <row r="20" spans="1:6">
      <c r="A20" s="51" t="s">
        <v>513</v>
      </c>
      <c r="C20" s="62">
        <f>Model!G32</f>
        <v>180</v>
      </c>
      <c r="D20" s="62">
        <f>Model!L32</f>
        <v>211.52699440695795</v>
      </c>
      <c r="E20" s="62">
        <f>Model!Q32</f>
        <v>226.55416178879756</v>
      </c>
      <c r="F20" s="62">
        <f>Model!V32</f>
        <v>230.09979876082335</v>
      </c>
    </row>
    <row r="21" spans="1:6">
      <c r="A21" s="46" t="s">
        <v>507</v>
      </c>
      <c r="C21" s="63" t="e">
        <f>Baseline!H32</f>
        <v>#REF!</v>
      </c>
      <c r="D21" s="63" t="e">
        <f>Baseline!M32</f>
        <v>#REF!</v>
      </c>
      <c r="E21" s="63" t="e">
        <f>Baseline!R32</f>
        <v>#REF!</v>
      </c>
      <c r="F21" s="63" t="e">
        <f>Baseline!W32</f>
        <v>#REF!</v>
      </c>
    </row>
    <row r="22" spans="1:6">
      <c r="A22" s="51" t="s">
        <v>514</v>
      </c>
      <c r="C22" s="62">
        <f>Model!G64</f>
        <v>94.769573233661049</v>
      </c>
      <c r="D22" s="62">
        <f>Model!L64</f>
        <v>94.862913819314414</v>
      </c>
      <c r="E22" s="62">
        <f>Model!Q64</f>
        <v>91.266440433264975</v>
      </c>
      <c r="F22" s="62">
        <f>Model!V64</f>
        <v>85.657126795155406</v>
      </c>
    </row>
    <row r="23" spans="1:6">
      <c r="A23" s="46" t="s">
        <v>507</v>
      </c>
      <c r="C23" s="63" t="e">
        <f>Baseline!H65</f>
        <v>#REF!</v>
      </c>
      <c r="D23" s="63" t="e">
        <f>Baseline!M65</f>
        <v>#REF!</v>
      </c>
      <c r="E23" s="63" t="e">
        <f>Baseline!R65</f>
        <v>#REF!</v>
      </c>
      <c r="F23" s="63" t="e">
        <f>Baseline!W65</f>
        <v>#REF!</v>
      </c>
    </row>
    <row r="25" spans="1:6" ht="16.149999999999999" customHeight="1">
      <c r="A25" s="101" t="s">
        <v>515</v>
      </c>
      <c r="B25" s="102"/>
      <c r="C25" s="102"/>
      <c r="D25" s="102"/>
      <c r="E25" s="102"/>
      <c r="F25" s="102"/>
    </row>
    <row r="26" spans="1:6">
      <c r="A26" s="51" t="s">
        <v>516</v>
      </c>
      <c r="C26" s="62">
        <f>Model!G38</f>
        <v>0</v>
      </c>
      <c r="D26" s="62">
        <f>Model!L38</f>
        <v>1.5072625846251171</v>
      </c>
      <c r="E26" s="62">
        <f>Model!Q38</f>
        <v>2.5938954107514434</v>
      </c>
      <c r="F26" s="62">
        <f>Model!V38</f>
        <v>3.8520489602118246</v>
      </c>
    </row>
    <row r="27" spans="1:6">
      <c r="A27" s="51" t="s">
        <v>517</v>
      </c>
      <c r="C27" s="62">
        <f>Model!G41</f>
        <v>0</v>
      </c>
      <c r="D27" s="62">
        <f>Model!L41</f>
        <v>0.8897791085379535</v>
      </c>
      <c r="E27" s="62">
        <f>Model!Q41</f>
        <v>1.455960345981149</v>
      </c>
      <c r="F27" s="62">
        <f>Model!V41</f>
        <v>1.9235854630054647</v>
      </c>
    </row>
    <row r="28" spans="1:6">
      <c r="A28" s="51" t="s">
        <v>518</v>
      </c>
      <c r="C28" s="62">
        <f>Model!G43</f>
        <v>0</v>
      </c>
      <c r="D28" s="62">
        <f>Model!L43</f>
        <v>5.8617938130025991</v>
      </c>
      <c r="E28" s="62">
        <f>Model!Q43</f>
        <v>18.611166872290482</v>
      </c>
      <c r="F28" s="62">
        <f>Model!V43</f>
        <v>38.436360750542235</v>
      </c>
    </row>
    <row r="29" spans="1:6">
      <c r="A29" s="51" t="s">
        <v>519</v>
      </c>
      <c r="C29" s="62">
        <f>Model!G44</f>
        <v>0</v>
      </c>
      <c r="D29" s="62">
        <f>Model!L44</f>
        <v>2.6559346723954946</v>
      </c>
      <c r="E29" s="62">
        <f>Model!Q44</f>
        <v>7.2799743314204637</v>
      </c>
      <c r="F29" s="62">
        <f>Model!V44</f>
        <v>12.490068146453558</v>
      </c>
    </row>
    <row r="30" spans="1:6">
      <c r="A30" s="51" t="s">
        <v>520</v>
      </c>
      <c r="C30" s="62">
        <f>Model!G49</f>
        <v>0</v>
      </c>
      <c r="D30" s="62">
        <f>Model!L49</f>
        <v>8.841965575445225E-2</v>
      </c>
      <c r="E30" s="62">
        <f>Model!Q49</f>
        <v>0.3454756943698058</v>
      </c>
      <c r="F30" s="62">
        <f>Model!V49</f>
        <v>0.39312401244565554</v>
      </c>
    </row>
    <row r="31" spans="1:6">
      <c r="A31" s="46" t="s">
        <v>507</v>
      </c>
      <c r="C31" s="63" t="e">
        <f>Baseline!H50</f>
        <v>#REF!</v>
      </c>
      <c r="D31" s="63" t="e">
        <f>Baseline!M50</f>
        <v>#REF!</v>
      </c>
      <c r="E31" s="63" t="e">
        <f>Baseline!R50</f>
        <v>#REF!</v>
      </c>
      <c r="F31" s="63" t="e">
        <f>Baseline!W50</f>
        <v>#REF!</v>
      </c>
    </row>
    <row r="32" spans="1:6">
      <c r="A32" s="51" t="s">
        <v>521</v>
      </c>
      <c r="C32" s="62">
        <f>Model!G50</f>
        <v>0</v>
      </c>
      <c r="D32" s="62">
        <f>Model!L50</f>
        <v>8.841965575445225E-2</v>
      </c>
      <c r="E32" s="62">
        <f>Model!Q50</f>
        <v>1.3359685831219688</v>
      </c>
      <c r="F32" s="62">
        <f>Model!V50</f>
        <v>2.790251439276179</v>
      </c>
    </row>
    <row r="33" spans="1:6">
      <c r="A33" s="46" t="s">
        <v>507</v>
      </c>
      <c r="C33" s="63" t="e">
        <f>Baseline!H51</f>
        <v>#REF!</v>
      </c>
      <c r="D33" s="63" t="e">
        <f>Baseline!M51</f>
        <v>#REF!</v>
      </c>
      <c r="E33" s="63" t="e">
        <f>Baseline!R51</f>
        <v>#REF!</v>
      </c>
      <c r="F33" s="63" t="e">
        <f>Baseline!W51</f>
        <v>#REF!</v>
      </c>
    </row>
    <row r="35" spans="1:6" ht="16.149999999999999" customHeight="1">
      <c r="A35" s="101" t="s">
        <v>522</v>
      </c>
      <c r="B35" s="102"/>
      <c r="C35" s="102"/>
      <c r="D35" s="102"/>
      <c r="E35" s="102"/>
      <c r="F35" s="102"/>
    </row>
    <row r="36" spans="1:6">
      <c r="A36" s="51" t="s">
        <v>523</v>
      </c>
      <c r="C36" s="62">
        <f>Model!G46</f>
        <v>0</v>
      </c>
      <c r="D36" s="62">
        <f>Model!L46</f>
        <v>1.5166003532971146</v>
      </c>
      <c r="E36" s="62">
        <f>Model!Q46</f>
        <v>8.7271076020529357</v>
      </c>
      <c r="F36" s="62">
        <f>Model!V46</f>
        <v>19.290593614525839</v>
      </c>
    </row>
    <row r="37" spans="1:6">
      <c r="A37" s="51" t="s">
        <v>524</v>
      </c>
      <c r="C37" s="62">
        <f>Model!G48</f>
        <v>95.138253987219144</v>
      </c>
      <c r="D37" s="62">
        <f>Model!L48</f>
        <v>92.566046396774027</v>
      </c>
      <c r="E37" s="62">
        <f>Model!Q48</f>
        <v>87.860836144153097</v>
      </c>
      <c r="F37" s="62">
        <f>Model!V48</f>
        <v>86.388528887009485</v>
      </c>
    </row>
    <row r="38" spans="1:6">
      <c r="A38" s="51" t="s">
        <v>525</v>
      </c>
      <c r="C38" s="62">
        <f>Model!G52</f>
        <v>0</v>
      </c>
      <c r="D38" s="62">
        <f>Model!L52</f>
        <v>190.8238805216111</v>
      </c>
      <c r="E38" s="62">
        <f>Model!Q52</f>
        <v>924.92482271164795</v>
      </c>
      <c r="F38" s="62">
        <f>Model!V52</f>
        <v>1654.2821561287094</v>
      </c>
    </row>
    <row r="39" spans="1:6">
      <c r="A39" s="51" t="s">
        <v>526</v>
      </c>
      <c r="C39" s="62">
        <f>Model!G59</f>
        <v>-37</v>
      </c>
      <c r="D39" s="62">
        <f>Model!L59</f>
        <v>-37</v>
      </c>
      <c r="E39" s="62">
        <f>Model!Q59</f>
        <v>-37</v>
      </c>
      <c r="F39" s="62">
        <f>Model!V59</f>
        <v>-37</v>
      </c>
    </row>
    <row r="40" spans="1:6">
      <c r="A40" s="51" t="s">
        <v>527</v>
      </c>
      <c r="C40" s="62">
        <f>Model!G60</f>
        <v>-37</v>
      </c>
      <c r="D40" s="62">
        <f>Model!L60</f>
        <v>-58.863073037687421</v>
      </c>
      <c r="E40" s="62">
        <f>Model!Q60</f>
        <v>-312.93575791414258</v>
      </c>
      <c r="F40" s="62">
        <f>Model!V60</f>
        <v>-642.40053452763425</v>
      </c>
    </row>
    <row r="41" spans="1:6">
      <c r="A41" s="51" t="s">
        <v>528</v>
      </c>
      <c r="C41" s="62">
        <f>Model!G61</f>
        <v>-0.11099999999999999</v>
      </c>
      <c r="D41" s="62">
        <f>Model!L61</f>
        <v>-0.31786307303768746</v>
      </c>
      <c r="E41" s="62">
        <f>Model!Q61</f>
        <v>-1.3606317672373778</v>
      </c>
      <c r="F41" s="62">
        <f>Model!V61</f>
        <v>-4.0272830504033292</v>
      </c>
    </row>
    <row r="42" spans="1:6">
      <c r="A42" s="51" t="s">
        <v>529</v>
      </c>
      <c r="C42" s="62">
        <f>Model!G62</f>
        <v>0.18622318809772742</v>
      </c>
      <c r="D42" s="62">
        <f>Model!L62</f>
        <v>0.26185184467860445</v>
      </c>
      <c r="E42" s="62">
        <f>Model!Q62</f>
        <v>1.2304063688977445</v>
      </c>
      <c r="F42" s="62">
        <f>Model!V62</f>
        <v>2.2324407744259767</v>
      </c>
    </row>
    <row r="43" spans="1:6">
      <c r="A43" s="51" t="s">
        <v>530</v>
      </c>
      <c r="C43" s="62">
        <f>Model!G65</f>
        <v>0.99416739409858867</v>
      </c>
      <c r="D43" s="62">
        <f>Model!L65</f>
        <v>1.1314679380756234</v>
      </c>
      <c r="E43" s="62">
        <f>Model!Q65</f>
        <v>1.1272648108894556</v>
      </c>
      <c r="F43" s="62">
        <f>Model!V65</f>
        <v>1.058981584692984</v>
      </c>
    </row>
    <row r="44" spans="1:6">
      <c r="A44" s="46" t="s">
        <v>507</v>
      </c>
      <c r="C44" s="63">
        <f>Baseline!H66</f>
        <v>0</v>
      </c>
      <c r="D44" s="63">
        <f>Baseline!M66</f>
        <v>0</v>
      </c>
      <c r="E44" s="63">
        <f>Baseline!R66</f>
        <v>0</v>
      </c>
      <c r="F44" s="63">
        <f>Baseline!W66</f>
        <v>0</v>
      </c>
    </row>
  </sheetData>
  <mergeCells count="6">
    <mergeCell ref="A2:F2"/>
    <mergeCell ref="A16:F16"/>
    <mergeCell ref="A1:F1"/>
    <mergeCell ref="A8:F8"/>
    <mergeCell ref="A35:F35"/>
    <mergeCell ref="A25:F25"/>
  </mergeCells>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8"/>
  <sheetViews>
    <sheetView showGridLines="0" topLeftCell="A4" workbookViewId="0">
      <selection activeCell="C36" sqref="C36"/>
    </sheetView>
  </sheetViews>
  <sheetFormatPr defaultRowHeight="15"/>
  <cols>
    <col min="1" max="1" width="40" customWidth="1"/>
    <col min="2" max="2" width="10" customWidth="1"/>
  </cols>
  <sheetData>
    <row r="1" spans="1:29" ht="16.149999999999999" customHeight="1">
      <c r="A1" s="105" t="s">
        <v>531</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row>
    <row r="2" spans="1:29" ht="24" customHeight="1">
      <c r="A2" s="46" t="s">
        <v>532</v>
      </c>
    </row>
    <row r="3" spans="1:29">
      <c r="A3" s="56" t="s">
        <v>533</v>
      </c>
      <c r="B3" s="56" t="s">
        <v>534</v>
      </c>
      <c r="D3" s="57" t="s">
        <v>535</v>
      </c>
      <c r="E3" s="57" t="s">
        <v>536</v>
      </c>
      <c r="F3" s="57" t="s">
        <v>537</v>
      </c>
      <c r="G3" s="57" t="s">
        <v>538</v>
      </c>
      <c r="H3" s="57" t="s">
        <v>501</v>
      </c>
      <c r="I3" s="57" t="s">
        <v>539</v>
      </c>
      <c r="J3" s="57" t="s">
        <v>540</v>
      </c>
      <c r="K3" s="57" t="s">
        <v>541</v>
      </c>
      <c r="L3" s="57" t="s">
        <v>542</v>
      </c>
      <c r="M3" s="57" t="s">
        <v>502</v>
      </c>
      <c r="N3" s="57" t="s">
        <v>543</v>
      </c>
      <c r="O3" s="57" t="s">
        <v>544</v>
      </c>
      <c r="P3" s="57" t="s">
        <v>545</v>
      </c>
      <c r="Q3" s="57" t="s">
        <v>546</v>
      </c>
      <c r="R3" s="57" t="s">
        <v>503</v>
      </c>
      <c r="S3" s="57" t="s">
        <v>547</v>
      </c>
      <c r="T3" s="57" t="s">
        <v>548</v>
      </c>
      <c r="U3" s="57" t="s">
        <v>549</v>
      </c>
      <c r="V3" s="57" t="s">
        <v>550</v>
      </c>
      <c r="W3" s="57" t="s">
        <v>504</v>
      </c>
      <c r="X3" s="57" t="s">
        <v>551</v>
      </c>
      <c r="Y3" s="57" t="s">
        <v>552</v>
      </c>
      <c r="Z3" s="57" t="s">
        <v>553</v>
      </c>
      <c r="AA3" s="57" t="s">
        <v>554</v>
      </c>
      <c r="AB3" s="57" t="s">
        <v>555</v>
      </c>
      <c r="AC3" s="57" t="s">
        <v>556</v>
      </c>
    </row>
    <row r="4" spans="1:29" ht="25.5" customHeight="1">
      <c r="A4" s="51" t="s">
        <v>557</v>
      </c>
      <c r="B4" s="64">
        <v>5</v>
      </c>
      <c r="D4" t="e">
        <f t="shared" ref="D4:AC4" si="0">D15+D24+Other_Gen-D9</f>
        <v>#REF!</v>
      </c>
      <c r="E4" t="e">
        <f t="shared" si="0"/>
        <v>#REF!</v>
      </c>
      <c r="F4" t="e">
        <f t="shared" si="0"/>
        <v>#REF!</v>
      </c>
      <c r="G4" t="e">
        <f t="shared" si="0"/>
        <v>#REF!</v>
      </c>
      <c r="H4" t="e">
        <f t="shared" si="0"/>
        <v>#REF!</v>
      </c>
      <c r="I4" t="e">
        <f t="shared" si="0"/>
        <v>#REF!</v>
      </c>
      <c r="J4" t="e">
        <f t="shared" si="0"/>
        <v>#REF!</v>
      </c>
      <c r="K4" t="e">
        <f t="shared" si="0"/>
        <v>#REF!</v>
      </c>
      <c r="L4" t="e">
        <f t="shared" si="0"/>
        <v>#REF!</v>
      </c>
      <c r="M4" t="e">
        <f t="shared" si="0"/>
        <v>#REF!</v>
      </c>
      <c r="N4" t="e">
        <f t="shared" si="0"/>
        <v>#REF!</v>
      </c>
      <c r="O4" t="e">
        <f t="shared" si="0"/>
        <v>#REF!</v>
      </c>
      <c r="P4" t="e">
        <f t="shared" si="0"/>
        <v>#REF!</v>
      </c>
      <c r="Q4" t="e">
        <f t="shared" si="0"/>
        <v>#REF!</v>
      </c>
      <c r="R4" t="e">
        <f t="shared" si="0"/>
        <v>#REF!</v>
      </c>
      <c r="S4" t="e">
        <f t="shared" si="0"/>
        <v>#REF!</v>
      </c>
      <c r="T4" t="e">
        <f t="shared" si="0"/>
        <v>#REF!</v>
      </c>
      <c r="U4" t="e">
        <f t="shared" si="0"/>
        <v>#REF!</v>
      </c>
      <c r="V4" t="e">
        <f t="shared" si="0"/>
        <v>#REF!</v>
      </c>
      <c r="W4" t="e">
        <f t="shared" si="0"/>
        <v>#REF!</v>
      </c>
      <c r="X4" t="e">
        <f t="shared" si="0"/>
        <v>#REF!</v>
      </c>
      <c r="Y4" t="e">
        <f t="shared" si="0"/>
        <v>#REF!</v>
      </c>
      <c r="Z4" t="e">
        <f t="shared" si="0"/>
        <v>#REF!</v>
      </c>
      <c r="AA4" t="e">
        <f t="shared" si="0"/>
        <v>#REF!</v>
      </c>
      <c r="AB4" t="e">
        <f t="shared" si="0"/>
        <v>#REF!</v>
      </c>
      <c r="AC4" t="e">
        <f t="shared" si="0"/>
        <v>#REF!</v>
      </c>
    </row>
    <row r="5" spans="1:29">
      <c r="A5" s="51" t="s">
        <v>558</v>
      </c>
      <c r="B5" s="64">
        <v>0.01</v>
      </c>
      <c r="D5">
        <f t="shared" ref="D5:AC5" si="1">MIN(MAX(0,D36),1)-D36</f>
        <v>0</v>
      </c>
      <c r="E5">
        <f t="shared" si="1"/>
        <v>0</v>
      </c>
      <c r="F5">
        <f t="shared" si="1"/>
        <v>0</v>
      </c>
      <c r="G5">
        <f t="shared" si="1"/>
        <v>0</v>
      </c>
      <c r="H5">
        <f t="shared" si="1"/>
        <v>0</v>
      </c>
      <c r="I5">
        <f t="shared" si="1"/>
        <v>0</v>
      </c>
      <c r="J5">
        <f t="shared" si="1"/>
        <v>0</v>
      </c>
      <c r="K5">
        <f t="shared" si="1"/>
        <v>0</v>
      </c>
      <c r="L5">
        <f t="shared" si="1"/>
        <v>0</v>
      </c>
      <c r="M5">
        <f t="shared" si="1"/>
        <v>0</v>
      </c>
      <c r="N5">
        <f t="shared" si="1"/>
        <v>0</v>
      </c>
      <c r="O5">
        <f t="shared" si="1"/>
        <v>0</v>
      </c>
      <c r="P5">
        <f t="shared" si="1"/>
        <v>0</v>
      </c>
      <c r="Q5">
        <f t="shared" si="1"/>
        <v>0</v>
      </c>
      <c r="R5">
        <f t="shared" si="1"/>
        <v>0</v>
      </c>
      <c r="S5">
        <f t="shared" si="1"/>
        <v>0</v>
      </c>
      <c r="T5">
        <f t="shared" si="1"/>
        <v>0</v>
      </c>
      <c r="U5">
        <f t="shared" si="1"/>
        <v>0</v>
      </c>
      <c r="V5">
        <f t="shared" si="1"/>
        <v>0</v>
      </c>
      <c r="W5">
        <f t="shared" si="1"/>
        <v>0</v>
      </c>
      <c r="X5">
        <f t="shared" si="1"/>
        <v>0</v>
      </c>
      <c r="Y5">
        <f t="shared" si="1"/>
        <v>0</v>
      </c>
      <c r="Z5">
        <f t="shared" si="1"/>
        <v>0</v>
      </c>
      <c r="AA5">
        <f t="shared" si="1"/>
        <v>0</v>
      </c>
      <c r="AB5">
        <f t="shared" si="1"/>
        <v>0</v>
      </c>
      <c r="AC5">
        <f t="shared" si="1"/>
        <v>0</v>
      </c>
    </row>
    <row r="6" spans="1:29">
      <c r="A6" s="51" t="s">
        <v>559</v>
      </c>
      <c r="B6" s="64">
        <v>1E-3</v>
      </c>
      <c r="D6" s="65">
        <f>Batt_w1h+Batt_w2h+Batt_w4h+Batt_w8h-1</f>
        <v>0</v>
      </c>
    </row>
    <row r="7" spans="1:29" ht="25.5" customHeight="1">
      <c r="A7" s="51" t="s">
        <v>560</v>
      </c>
      <c r="B7" s="64">
        <v>1</v>
      </c>
      <c r="D7">
        <f t="shared" ref="D7:AC7" si="2">D63*D9-D61</f>
        <v>0</v>
      </c>
      <c r="E7">
        <f t="shared" si="2"/>
        <v>0</v>
      </c>
      <c r="F7">
        <f t="shared" si="2"/>
        <v>0</v>
      </c>
      <c r="G7">
        <f t="shared" si="2"/>
        <v>0</v>
      </c>
      <c r="H7">
        <f t="shared" si="2"/>
        <v>0</v>
      </c>
      <c r="I7">
        <f t="shared" si="2"/>
        <v>0</v>
      </c>
      <c r="J7">
        <f t="shared" si="2"/>
        <v>0</v>
      </c>
      <c r="K7">
        <f t="shared" si="2"/>
        <v>0</v>
      </c>
      <c r="L7">
        <f t="shared" si="2"/>
        <v>0</v>
      </c>
      <c r="M7">
        <f t="shared" si="2"/>
        <v>0</v>
      </c>
      <c r="N7">
        <f t="shared" si="2"/>
        <v>0</v>
      </c>
      <c r="O7">
        <f t="shared" si="2"/>
        <v>0</v>
      </c>
      <c r="P7">
        <f t="shared" si="2"/>
        <v>0</v>
      </c>
      <c r="Q7">
        <f t="shared" si="2"/>
        <v>0</v>
      </c>
      <c r="R7">
        <f t="shared" si="2"/>
        <v>0</v>
      </c>
      <c r="S7">
        <f t="shared" si="2"/>
        <v>0</v>
      </c>
      <c r="T7">
        <f t="shared" si="2"/>
        <v>0</v>
      </c>
      <c r="U7">
        <f t="shared" si="2"/>
        <v>0</v>
      </c>
      <c r="V7">
        <f t="shared" si="2"/>
        <v>0</v>
      </c>
      <c r="W7">
        <f t="shared" si="2"/>
        <v>0</v>
      </c>
      <c r="X7">
        <f t="shared" si="2"/>
        <v>0</v>
      </c>
      <c r="Y7">
        <f t="shared" si="2"/>
        <v>0</v>
      </c>
      <c r="Z7">
        <f t="shared" si="2"/>
        <v>0</v>
      </c>
      <c r="AA7">
        <f t="shared" si="2"/>
        <v>0</v>
      </c>
      <c r="AB7">
        <f t="shared" si="2"/>
        <v>0</v>
      </c>
      <c r="AC7">
        <f t="shared" si="2"/>
        <v>0</v>
      </c>
    </row>
    <row r="8" spans="1:29" ht="25.5" customHeight="1">
      <c r="A8" s="51" t="s">
        <v>561</v>
      </c>
      <c r="B8" s="64">
        <v>0</v>
      </c>
      <c r="D8">
        <f t="shared" ref="D8:AC8" si="3">MAX(0,-D22)</f>
        <v>0</v>
      </c>
      <c r="E8">
        <f t="shared" si="3"/>
        <v>0</v>
      </c>
      <c r="F8">
        <f t="shared" si="3"/>
        <v>0</v>
      </c>
      <c r="G8">
        <f t="shared" si="3"/>
        <v>0</v>
      </c>
      <c r="H8">
        <f t="shared" si="3"/>
        <v>0</v>
      </c>
      <c r="I8">
        <f t="shared" si="3"/>
        <v>0</v>
      </c>
      <c r="J8">
        <f t="shared" si="3"/>
        <v>0</v>
      </c>
      <c r="K8">
        <f t="shared" si="3"/>
        <v>0</v>
      </c>
      <c r="L8">
        <f t="shared" si="3"/>
        <v>0</v>
      </c>
      <c r="M8">
        <f t="shared" si="3"/>
        <v>0</v>
      </c>
      <c r="N8">
        <f t="shared" si="3"/>
        <v>0</v>
      </c>
      <c r="O8">
        <f t="shared" si="3"/>
        <v>0</v>
      </c>
      <c r="P8">
        <f t="shared" si="3"/>
        <v>0</v>
      </c>
      <c r="Q8">
        <f t="shared" si="3"/>
        <v>0</v>
      </c>
      <c r="R8">
        <f t="shared" si="3"/>
        <v>0</v>
      </c>
      <c r="S8">
        <f t="shared" si="3"/>
        <v>0</v>
      </c>
      <c r="T8">
        <f t="shared" si="3"/>
        <v>0</v>
      </c>
      <c r="U8">
        <f t="shared" si="3"/>
        <v>0</v>
      </c>
      <c r="V8">
        <f t="shared" si="3"/>
        <v>0</v>
      </c>
      <c r="W8">
        <f t="shared" si="3"/>
        <v>0</v>
      </c>
      <c r="X8">
        <f t="shared" si="3"/>
        <v>0</v>
      </c>
      <c r="Y8">
        <f t="shared" si="3"/>
        <v>0</v>
      </c>
      <c r="Z8">
        <f t="shared" si="3"/>
        <v>0</v>
      </c>
      <c r="AA8">
        <f t="shared" si="3"/>
        <v>0</v>
      </c>
      <c r="AB8">
        <f t="shared" si="3"/>
        <v>0</v>
      </c>
      <c r="AC8">
        <f t="shared" si="3"/>
        <v>0</v>
      </c>
    </row>
  </sheetData>
  <mergeCells count="1">
    <mergeCell ref="A1:AC1"/>
  </mergeCells>
  <conditionalFormatting sqref="D6">
    <cfRule type="cellIs" dxfId="9" priority="5" operator="between">
      <formula>-0.001</formula>
      <formula>0.001</formula>
    </cfRule>
    <cfRule type="cellIs" dxfId="8" priority="6" operator="notBetween">
      <formula>-0.001</formula>
      <formula>0.001</formula>
    </cfRule>
  </conditionalFormatting>
  <conditionalFormatting sqref="D4:AC4">
    <cfRule type="cellIs" dxfId="7" priority="1" operator="between">
      <formula>-5</formula>
      <formula>5</formula>
    </cfRule>
    <cfRule type="cellIs" dxfId="6" priority="2" operator="notBetween">
      <formula>-5</formula>
      <formula>5</formula>
    </cfRule>
  </conditionalFormatting>
  <conditionalFormatting sqref="D5:AC5">
    <cfRule type="cellIs" dxfId="5" priority="3" operator="between">
      <formula>-0.01</formula>
      <formula>0.01</formula>
    </cfRule>
    <cfRule type="cellIs" dxfId="4" priority="4" operator="notBetween">
      <formula>-0.01</formula>
      <formula>0.01</formula>
    </cfRule>
  </conditionalFormatting>
  <conditionalFormatting sqref="D7:AC7">
    <cfRule type="cellIs" dxfId="3" priority="7" operator="between">
      <formula>-1</formula>
      <formula>1</formula>
    </cfRule>
    <cfRule type="cellIs" dxfId="2" priority="8" operator="notBetween">
      <formula>-1</formula>
      <formula>1</formula>
    </cfRule>
  </conditionalFormatting>
  <conditionalFormatting sqref="D8:AC8">
    <cfRule type="cellIs" dxfId="1" priority="9" operator="between">
      <formula>0</formula>
      <formula>0</formula>
    </cfRule>
    <cfRule type="cellIs" dxfId="0" priority="10" operator="notBetween">
      <formula>0</formula>
      <formula>0</formula>
    </cfRule>
  </conditionalFormatting>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W36"/>
  <sheetViews>
    <sheetView topLeftCell="A50" zoomScale="53" zoomScaleNormal="85" workbookViewId="0">
      <selection activeCell="AD79" sqref="AD79"/>
    </sheetView>
  </sheetViews>
  <sheetFormatPr defaultColWidth="8.7109375" defaultRowHeight="15"/>
  <cols>
    <col min="1" max="49" width="7" customWidth="1"/>
  </cols>
  <sheetData>
    <row r="1" spans="1:49" ht="21.75" customHeight="1">
      <c r="A1" s="2"/>
      <c r="B1" s="3"/>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49" ht="1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49" ht="30" customHeight="1">
      <c r="A3" s="4" t="s">
        <v>562</v>
      </c>
      <c r="B3" s="23" t="s">
        <v>563</v>
      </c>
      <c r="C3" s="23" t="s">
        <v>564</v>
      </c>
      <c r="D3" s="23" t="s">
        <v>565</v>
      </c>
      <c r="E3" s="23" t="s">
        <v>566</v>
      </c>
      <c r="F3" s="23" t="s">
        <v>567</v>
      </c>
      <c r="G3" s="23" t="s">
        <v>568</v>
      </c>
      <c r="H3" s="23" t="s">
        <v>569</v>
      </c>
      <c r="I3" s="5" t="s">
        <v>570</v>
      </c>
      <c r="J3" s="5" t="s">
        <v>571</v>
      </c>
      <c r="K3" s="5" t="s">
        <v>572</v>
      </c>
      <c r="L3" s="5" t="s">
        <v>573</v>
      </c>
      <c r="M3" s="5" t="s">
        <v>574</v>
      </c>
      <c r="N3" s="5" t="s">
        <v>575</v>
      </c>
      <c r="O3" s="5" t="s">
        <v>576</v>
      </c>
      <c r="P3" s="5" t="s">
        <v>577</v>
      </c>
      <c r="Q3" s="5" t="s">
        <v>578</v>
      </c>
      <c r="R3" s="5" t="s">
        <v>579</v>
      </c>
      <c r="S3" s="5" t="s">
        <v>580</v>
      </c>
      <c r="T3" s="5" t="s">
        <v>581</v>
      </c>
      <c r="U3" s="5" t="s">
        <v>582</v>
      </c>
      <c r="V3" s="6" t="s">
        <v>583</v>
      </c>
      <c r="W3" s="6" t="s">
        <v>584</v>
      </c>
      <c r="X3" s="6" t="s">
        <v>585</v>
      </c>
      <c r="Y3" s="6" t="s">
        <v>586</v>
      </c>
      <c r="Z3" s="6" t="s">
        <v>580</v>
      </c>
      <c r="AA3" s="6" t="s">
        <v>587</v>
      </c>
      <c r="AB3" s="6" t="s">
        <v>588</v>
      </c>
      <c r="AC3" s="6" t="s">
        <v>589</v>
      </c>
      <c r="AD3" s="6" t="s">
        <v>590</v>
      </c>
      <c r="AE3" s="6" t="s">
        <v>591</v>
      </c>
      <c r="AF3" s="6" t="s">
        <v>592</v>
      </c>
      <c r="AG3" s="7" t="s">
        <v>593</v>
      </c>
      <c r="AH3" s="7" t="s">
        <v>594</v>
      </c>
      <c r="AI3" s="7" t="s">
        <v>595</v>
      </c>
      <c r="AJ3" s="8"/>
      <c r="AK3" s="6"/>
      <c r="AL3" s="6"/>
      <c r="AM3" s="6"/>
      <c r="AN3" s="6"/>
      <c r="AO3" s="6"/>
      <c r="AP3" s="6"/>
      <c r="AQ3" s="6"/>
      <c r="AR3" s="6"/>
      <c r="AS3" s="6"/>
      <c r="AT3" s="6"/>
      <c r="AU3" s="6"/>
      <c r="AV3" s="4"/>
      <c r="AW3" s="6"/>
    </row>
    <row r="4" spans="1:49" ht="15" customHeight="1">
      <c r="A4" s="9" t="s">
        <v>535</v>
      </c>
      <c r="B4" s="24">
        <f>Model!C14</f>
        <v>22</v>
      </c>
      <c r="C4" s="24">
        <f>Model!C18</f>
        <v>22</v>
      </c>
      <c r="D4" s="24">
        <f>VRE_Start</f>
        <v>30</v>
      </c>
      <c r="E4" s="24">
        <f>Model!C43</f>
        <v>0</v>
      </c>
      <c r="F4" s="24">
        <f>Model!C45</f>
        <v>0</v>
      </c>
      <c r="G4" s="24" t="e">
        <f>Model!#REF!</f>
        <v>#REF!</v>
      </c>
      <c r="H4" s="24">
        <f>Model!C67</f>
        <v>0</v>
      </c>
      <c r="I4" s="12">
        <f>Model!C27</f>
        <v>112.22813980497169</v>
      </c>
      <c r="J4" s="13">
        <f>Model!C32</f>
        <v>180</v>
      </c>
      <c r="K4" s="12">
        <f>Model!C29</f>
        <v>112.22813980497169</v>
      </c>
      <c r="L4" s="13">
        <f>Model!C22</f>
        <v>112.22813980497169</v>
      </c>
      <c r="M4" s="14">
        <f>Model!C61</f>
        <v>0</v>
      </c>
      <c r="N4" s="26">
        <f>Model!C60</f>
        <v>0</v>
      </c>
      <c r="O4" s="10">
        <f>Model!C58</f>
        <v>0</v>
      </c>
      <c r="P4" s="10">
        <f>Model!C59</f>
        <v>-37</v>
      </c>
      <c r="Q4" s="10">
        <f>Model!C63</f>
        <v>0</v>
      </c>
      <c r="R4" s="15">
        <f>Model!C34</f>
        <v>0.3838339999999999</v>
      </c>
      <c r="S4" s="10">
        <f>Model!C39</f>
        <v>0</v>
      </c>
      <c r="T4" s="10">
        <f>Model!C23</f>
        <v>35</v>
      </c>
      <c r="U4" s="10">
        <f>Model!C26</f>
        <v>-3.034860000000009</v>
      </c>
      <c r="V4" s="10">
        <f>Model!C47</f>
        <v>0</v>
      </c>
      <c r="W4" s="12">
        <f>Model!C48</f>
        <v>112.22813980497169</v>
      </c>
      <c r="X4" s="12">
        <f>Model!C30</f>
        <v>3.5348714999999942</v>
      </c>
      <c r="Y4" s="12">
        <f>Baseline!D27</f>
        <v>0</v>
      </c>
      <c r="Z4" s="12">
        <f>Model!C39</f>
        <v>0</v>
      </c>
      <c r="AA4" s="24">
        <f>Baseline!D14</f>
        <v>22</v>
      </c>
      <c r="AB4" s="11">
        <f>Baseline!D18</f>
        <v>22</v>
      </c>
      <c r="AC4" s="11">
        <f>Baseline!D43</f>
        <v>0</v>
      </c>
      <c r="AD4" s="11">
        <f>Baseline!D23</f>
        <v>33</v>
      </c>
      <c r="AE4" s="11">
        <f>Baseline!D68</f>
        <v>0</v>
      </c>
      <c r="AF4" s="10">
        <f>Baseline!D62</f>
        <v>0</v>
      </c>
      <c r="AG4" s="16">
        <f>Model!C51</f>
        <v>0</v>
      </c>
      <c r="AH4" s="16">
        <f>Model!C52</f>
        <v>0</v>
      </c>
      <c r="AI4" s="16">
        <f>Model!C57</f>
        <v>0</v>
      </c>
      <c r="AJ4" s="17">
        <f>Model!C7</f>
        <v>0</v>
      </c>
      <c r="AK4" s="18">
        <f>IF(Model!$C$27&gt;0,Baseline!D27/Model!$C$27*100,100)</f>
        <v>0</v>
      </c>
      <c r="AL4" s="18">
        <f>IF(Model!$C$27&gt;0,Baseline!D33/Model!$C$27*100,100)</f>
        <v>0</v>
      </c>
      <c r="AM4" s="19">
        <f>Baseline!D14</f>
        <v>22</v>
      </c>
      <c r="AN4" s="19">
        <f>Baseline!D43</f>
        <v>0</v>
      </c>
      <c r="AO4" s="20">
        <f>Baseline!D62</f>
        <v>0</v>
      </c>
      <c r="AP4" s="19">
        <f>Baseline!D15</f>
        <v>86.724000000000004</v>
      </c>
      <c r="AQ4" s="19">
        <f>Baseline!D20</f>
        <v>42.398399999999995</v>
      </c>
      <c r="AR4" s="19">
        <f>Baseline!D24</f>
        <v>75.999131999999989</v>
      </c>
      <c r="AS4" s="18">
        <f>IF(Baseline!D22&gt;0,Baseline!D27/Baseline!D22,0)</f>
        <v>0</v>
      </c>
      <c r="AT4" s="19">
        <f>Baseline!D18</f>
        <v>22</v>
      </c>
      <c r="AU4" s="19">
        <f>Baseline!D43</f>
        <v>0</v>
      </c>
      <c r="AV4" s="21">
        <f t="shared" ref="AV4:AW29" si="0">VRE_Start</f>
        <v>30</v>
      </c>
      <c r="AW4" s="21">
        <f t="shared" si="0"/>
        <v>30</v>
      </c>
    </row>
    <row r="5" spans="1:49" ht="15" customHeight="1">
      <c r="A5" s="9" t="s">
        <v>536</v>
      </c>
      <c r="B5" s="24">
        <f>Model!D14</f>
        <v>22</v>
      </c>
      <c r="C5" s="24">
        <f>Model!D18</f>
        <v>22</v>
      </c>
      <c r="D5" s="24">
        <f>VRE_Start*(1-VRE_Dep)^1</f>
        <v>30</v>
      </c>
      <c r="E5" s="24">
        <f>Model!D43</f>
        <v>0</v>
      </c>
      <c r="F5" s="24">
        <f>Model!D45</f>
        <v>0</v>
      </c>
      <c r="G5" s="24" t="e">
        <f>Model!#REF!</f>
        <v>#REF!</v>
      </c>
      <c r="H5" s="24">
        <f>Model!D67</f>
        <v>0</v>
      </c>
      <c r="I5" s="12">
        <f>Model!D27</f>
        <v>114.62600551940098</v>
      </c>
      <c r="J5" s="13">
        <f>Model!D32</f>
        <v>180</v>
      </c>
      <c r="K5" s="12">
        <f>Model!D29</f>
        <v>110.10963416964606</v>
      </c>
      <c r="L5" s="13">
        <f>Model!D22</f>
        <v>105.35894415992087</v>
      </c>
      <c r="M5" s="14">
        <f>Model!D61</f>
        <v>0</v>
      </c>
      <c r="N5" s="26">
        <f>Model!D60</f>
        <v>0</v>
      </c>
      <c r="O5" s="10">
        <f>Model!D58</f>
        <v>0</v>
      </c>
      <c r="P5" s="10">
        <f>Model!D59</f>
        <v>-37</v>
      </c>
      <c r="Q5" s="10">
        <f>Model!D63</f>
        <v>0</v>
      </c>
      <c r="R5" s="15">
        <f>Model!D34</f>
        <v>0.40848063999999989</v>
      </c>
      <c r="S5" s="10">
        <f>Model!D39</f>
        <v>0</v>
      </c>
      <c r="T5" s="10">
        <f>Model!D23</f>
        <v>36.187672502431298</v>
      </c>
      <c r="U5" s="10">
        <f>Model!D26</f>
        <v>-6.9002270171677935</v>
      </c>
      <c r="V5" s="10">
        <f>Model!D47</f>
        <v>0</v>
      </c>
      <c r="W5" s="12">
        <f>Model!D48</f>
        <v>105.35894415992087</v>
      </c>
      <c r="X5" s="12">
        <f>Model!D30</f>
        <v>2.6771420122699681</v>
      </c>
      <c r="Y5" s="12" t="e">
        <f>Baseline!E27</f>
        <v>#REF!</v>
      </c>
      <c r="Z5">
        <f>Model!D39</f>
        <v>0</v>
      </c>
      <c r="AA5" s="24">
        <f>Baseline!E14</f>
        <v>18.7</v>
      </c>
      <c r="AB5" s="11">
        <f>Baseline!E18</f>
        <v>22</v>
      </c>
      <c r="AC5" s="11">
        <f>Baseline!E43</f>
        <v>0</v>
      </c>
      <c r="AD5" s="11" t="e">
        <f>Baseline!E23</f>
        <v>#REF!</v>
      </c>
      <c r="AE5" s="11">
        <f>Baseline!E68</f>
        <v>0</v>
      </c>
      <c r="AF5" s="10">
        <f>Baseline!E62</f>
        <v>0</v>
      </c>
      <c r="AG5" s="16">
        <f>Model!D51</f>
        <v>0</v>
      </c>
      <c r="AH5" s="16">
        <f>Model!D52</f>
        <v>0</v>
      </c>
      <c r="AI5" s="16">
        <f>Model!D57</f>
        <v>0</v>
      </c>
      <c r="AJ5" s="17">
        <f>Model!D7</f>
        <v>0</v>
      </c>
      <c r="AK5" s="18" t="e">
        <f>IF(Model!$C$27&gt;0,Baseline!E27/Model!$C$27*100,100)</f>
        <v>#REF!</v>
      </c>
      <c r="AL5" s="18">
        <f>IF(Model!$C$27&gt;0,Baseline!E33/Model!$C$27*100,100)</f>
        <v>0</v>
      </c>
      <c r="AM5" s="19">
        <f>Baseline!E14</f>
        <v>18.7</v>
      </c>
      <c r="AN5" s="19">
        <f>Baseline!E43</f>
        <v>0</v>
      </c>
      <c r="AO5" s="20">
        <f>Baseline!E62</f>
        <v>0</v>
      </c>
      <c r="AP5" s="19">
        <f>Baseline!E15</f>
        <v>73.715399999999988</v>
      </c>
      <c r="AQ5" s="19">
        <f>Baseline!E20</f>
        <v>42.398399999999995</v>
      </c>
      <c r="AR5" s="19" t="e">
        <f>Baseline!E24</f>
        <v>#REF!</v>
      </c>
      <c r="AS5" s="18">
        <f>IF(Baseline!E22&gt;0,Baseline!E27/Baseline!E22,0)</f>
        <v>0</v>
      </c>
      <c r="AT5" s="19">
        <f>Baseline!E18</f>
        <v>22</v>
      </c>
      <c r="AU5" s="19">
        <f>Baseline!E43</f>
        <v>0</v>
      </c>
      <c r="AV5" s="21">
        <f t="shared" si="0"/>
        <v>30</v>
      </c>
      <c r="AW5" s="21">
        <f t="shared" si="0"/>
        <v>30</v>
      </c>
    </row>
    <row r="6" spans="1:49" ht="15" customHeight="1">
      <c r="A6" s="9" t="s">
        <v>537</v>
      </c>
      <c r="B6" s="24">
        <f>Model!E14</f>
        <v>22</v>
      </c>
      <c r="C6" s="24">
        <f>Model!E18</f>
        <v>22</v>
      </c>
      <c r="D6" s="24">
        <f>VRE_Start*(1-VRE_Dep)^2</f>
        <v>30</v>
      </c>
      <c r="E6" s="24">
        <f>Model!E43</f>
        <v>0</v>
      </c>
      <c r="F6" s="24">
        <f>Model!E45</f>
        <v>0</v>
      </c>
      <c r="G6" s="24" t="e">
        <f>Model!#REF!</f>
        <v>#REF!</v>
      </c>
      <c r="H6" s="24">
        <f>Model!E67</f>
        <v>0</v>
      </c>
      <c r="I6" s="12">
        <f>Model!E27</f>
        <v>122.37264169331294</v>
      </c>
      <c r="J6" s="13">
        <f>Model!E32</f>
        <v>180</v>
      </c>
      <c r="K6" s="12">
        <f>Model!E29</f>
        <v>112.52184995211167</v>
      </c>
      <c r="L6" s="13">
        <f>Model!E22</f>
        <v>101.50142191230249</v>
      </c>
      <c r="M6" s="14">
        <f>Model!E61</f>
        <v>-3.6999999999999998E-2</v>
      </c>
      <c r="N6" s="26">
        <f>Model!E60</f>
        <v>-37</v>
      </c>
      <c r="O6" s="10">
        <f>Model!E58</f>
        <v>0</v>
      </c>
      <c r="P6" s="10">
        <f>Model!E59</f>
        <v>-37</v>
      </c>
      <c r="Q6" s="10">
        <f>Model!E63</f>
        <v>0</v>
      </c>
      <c r="R6" s="15">
        <f>Model!E34</f>
        <v>0.43312727999999989</v>
      </c>
      <c r="S6" s="10">
        <f>Model!E39</f>
        <v>0</v>
      </c>
      <c r="T6" s="10">
        <f>Model!E23</f>
        <v>41.942779512383595</v>
      </c>
      <c r="U6" s="10">
        <f>Model!E26</f>
        <v>0.33903055887668643</v>
      </c>
      <c r="V6" s="10">
        <f>Model!E47</f>
        <v>0</v>
      </c>
      <c r="W6" s="12">
        <f>Model!E48</f>
        <v>101.50142191230249</v>
      </c>
      <c r="X6" s="12">
        <f>Model!E30</f>
        <v>2.2308697021541022</v>
      </c>
      <c r="Y6" s="12" t="e">
        <f>Baseline!F27</f>
        <v>#REF!</v>
      </c>
      <c r="Z6" s="22">
        <f>Model!E39</f>
        <v>0</v>
      </c>
      <c r="AA6" s="24" t="e">
        <f>Baseline!F14</f>
        <v>#REF!</v>
      </c>
      <c r="AB6" s="11">
        <f>Baseline!F18</f>
        <v>22</v>
      </c>
      <c r="AC6" s="11">
        <f>Baseline!F43</f>
        <v>0</v>
      </c>
      <c r="AD6" s="11" t="e">
        <f>Baseline!F23</f>
        <v>#REF!</v>
      </c>
      <c r="AE6" s="11">
        <f>Baseline!F68</f>
        <v>0</v>
      </c>
      <c r="AF6" s="10">
        <f>Baseline!F62</f>
        <v>0</v>
      </c>
      <c r="AG6" s="16">
        <f>Model!E51</f>
        <v>0</v>
      </c>
      <c r="AH6" s="16">
        <f>Model!E52</f>
        <v>0</v>
      </c>
      <c r="AI6" s="16">
        <f>Model!E57</f>
        <v>0</v>
      </c>
      <c r="AJ6" s="17">
        <f>Model!E7</f>
        <v>0</v>
      </c>
      <c r="AK6" s="18" t="e">
        <f>IF(Model!$C$27&gt;0,Baseline!F27/Model!$C$27*100,100)</f>
        <v>#REF!</v>
      </c>
      <c r="AL6" s="18">
        <f>IF(Model!$C$27&gt;0,Baseline!F33/Model!$C$27*100,100)</f>
        <v>0</v>
      </c>
      <c r="AM6" s="19" t="e">
        <f>Baseline!F14</f>
        <v>#REF!</v>
      </c>
      <c r="AN6" s="19">
        <f>Baseline!F43</f>
        <v>0</v>
      </c>
      <c r="AO6" s="20">
        <f>Baseline!F62</f>
        <v>0</v>
      </c>
      <c r="AP6" s="19" t="e">
        <f>Baseline!F15</f>
        <v>#REF!</v>
      </c>
      <c r="AQ6" s="19">
        <f>Baseline!F20</f>
        <v>42.398399999999995</v>
      </c>
      <c r="AR6" s="19" t="e">
        <f>Baseline!F24</f>
        <v>#REF!</v>
      </c>
      <c r="AS6" s="18">
        <f>IF(Baseline!F22&gt;0,Baseline!F27/Baseline!F22,0)</f>
        <v>0</v>
      </c>
      <c r="AT6" s="19">
        <f>Baseline!F18</f>
        <v>22</v>
      </c>
      <c r="AU6" s="19">
        <f>Baseline!F43</f>
        <v>0</v>
      </c>
      <c r="AV6" s="21">
        <f t="shared" si="0"/>
        <v>30</v>
      </c>
      <c r="AW6" s="21">
        <f t="shared" si="0"/>
        <v>30</v>
      </c>
    </row>
    <row r="7" spans="1:49" ht="15" customHeight="1">
      <c r="A7" s="9" t="s">
        <v>538</v>
      </c>
      <c r="B7" s="24">
        <f>Model!F14</f>
        <v>22</v>
      </c>
      <c r="C7" s="24">
        <f>Model!F18</f>
        <v>22</v>
      </c>
      <c r="D7" s="24">
        <f>VRE_Start*(1-VRE_Dep)^3</f>
        <v>30</v>
      </c>
      <c r="E7" s="24">
        <f>Model!F43</f>
        <v>0</v>
      </c>
      <c r="F7" s="24">
        <f>Model!F45</f>
        <v>0</v>
      </c>
      <c r="G7" s="24" t="e">
        <f>Model!#REF!</f>
        <v>#REF!</v>
      </c>
      <c r="H7" s="24">
        <f>Model!F67</f>
        <v>0</v>
      </c>
      <c r="I7" s="12">
        <f>Model!F27</f>
        <v>97.172739541291449</v>
      </c>
      <c r="J7" s="13">
        <f>Model!F32</f>
        <v>180</v>
      </c>
      <c r="K7" s="12">
        <f>Model!F29</f>
        <v>97.523344004451374</v>
      </c>
      <c r="L7" s="13">
        <f>Model!F22</f>
        <v>97.872067895639759</v>
      </c>
      <c r="M7" s="14">
        <f>Model!F61</f>
        <v>-7.3999999999999996E-2</v>
      </c>
      <c r="N7" s="26">
        <f>Model!F60</f>
        <v>-37</v>
      </c>
      <c r="O7" s="10">
        <f>Model!F58</f>
        <v>0</v>
      </c>
      <c r="P7" s="10">
        <f>Model!F59</f>
        <v>-37</v>
      </c>
      <c r="Q7" s="10">
        <f>Model!F63</f>
        <v>0</v>
      </c>
      <c r="R7" s="15">
        <f>Model!F34</f>
        <v>0.45777391999999995</v>
      </c>
      <c r="S7" s="10">
        <f>Model!F39</f>
        <v>0</v>
      </c>
      <c r="T7" s="10">
        <f>Model!F23</f>
        <v>44.942779512383595</v>
      </c>
      <c r="U7" s="10">
        <f>Model!F26</f>
        <v>0.2834760456733818</v>
      </c>
      <c r="V7" s="10">
        <f>Model!F47</f>
        <v>0</v>
      </c>
      <c r="W7" s="12">
        <f>Model!F48</f>
        <v>97.872067895639759</v>
      </c>
      <c r="X7" s="12">
        <f>Model!F30</f>
        <v>1.5189257146541024</v>
      </c>
      <c r="Y7" s="12" t="e">
        <f>Baseline!G27</f>
        <v>#REF!</v>
      </c>
      <c r="Z7" s="22">
        <f>Model!F39</f>
        <v>0</v>
      </c>
      <c r="AA7" s="24" t="e">
        <f>Baseline!G14</f>
        <v>#REF!</v>
      </c>
      <c r="AB7" s="11">
        <f>Baseline!G18</f>
        <v>22</v>
      </c>
      <c r="AC7" s="11">
        <f>Baseline!G43</f>
        <v>0</v>
      </c>
      <c r="AD7" s="11" t="e">
        <f>Baseline!G23</f>
        <v>#REF!</v>
      </c>
      <c r="AE7" s="11">
        <f>Baseline!G68</f>
        <v>0</v>
      </c>
      <c r="AF7" s="10">
        <f>Baseline!G62</f>
        <v>0</v>
      </c>
      <c r="AG7" s="16">
        <f>Model!F51</f>
        <v>0</v>
      </c>
      <c r="AH7" s="16">
        <f>Model!F52</f>
        <v>0</v>
      </c>
      <c r="AI7" s="16">
        <f>Model!F57</f>
        <v>0</v>
      </c>
      <c r="AJ7" s="17">
        <f>Model!F7</f>
        <v>0</v>
      </c>
      <c r="AK7" s="18" t="e">
        <f>IF(Model!$C$27&gt;0,Baseline!G27/Model!$C$27*100,100)</f>
        <v>#REF!</v>
      </c>
      <c r="AL7" s="18">
        <f>IF(Model!$C$27&gt;0,Baseline!G33/Model!$C$27*100,100)</f>
        <v>0</v>
      </c>
      <c r="AM7" s="19" t="e">
        <f>Baseline!G14</f>
        <v>#REF!</v>
      </c>
      <c r="AN7" s="19">
        <f>Baseline!G43</f>
        <v>0</v>
      </c>
      <c r="AO7" s="20">
        <f>Baseline!G62</f>
        <v>0</v>
      </c>
      <c r="AP7" s="19" t="e">
        <f>Baseline!G15</f>
        <v>#REF!</v>
      </c>
      <c r="AQ7" s="19">
        <f>Baseline!G20</f>
        <v>42.398399999999995</v>
      </c>
      <c r="AR7" s="19" t="e">
        <f>Baseline!G24</f>
        <v>#REF!</v>
      </c>
      <c r="AS7" s="18">
        <f>IF(Baseline!G22&gt;0,Baseline!G27/Baseline!G22,0)</f>
        <v>0</v>
      </c>
      <c r="AT7" s="19">
        <f>Baseline!G18</f>
        <v>22</v>
      </c>
      <c r="AU7" s="19">
        <f>Baseline!G43</f>
        <v>0</v>
      </c>
      <c r="AV7" s="21">
        <f t="shared" si="0"/>
        <v>30</v>
      </c>
      <c r="AW7" s="21">
        <f t="shared" si="0"/>
        <v>30</v>
      </c>
    </row>
    <row r="8" spans="1:49" ht="15" customHeight="1">
      <c r="A8" s="9" t="s">
        <v>501</v>
      </c>
      <c r="B8" s="24">
        <f>Model!G14</f>
        <v>22</v>
      </c>
      <c r="C8" s="24">
        <f>Model!G18</f>
        <v>22</v>
      </c>
      <c r="D8" s="24">
        <f>VRE_Start*(1-VRE_Dep)^4</f>
        <v>30</v>
      </c>
      <c r="E8" s="24">
        <f>Model!G43</f>
        <v>0</v>
      </c>
      <c r="F8" s="24">
        <f>Model!G45</f>
        <v>0</v>
      </c>
      <c r="G8" s="24" t="e">
        <f>Model!#REF!</f>
        <v>#REF!</v>
      </c>
      <c r="H8" s="24">
        <f>Model!G67</f>
        <v>0</v>
      </c>
      <c r="I8" s="12">
        <f>Model!G27</f>
        <v>94.583350045563321</v>
      </c>
      <c r="J8" s="13">
        <f>Model!G32</f>
        <v>180</v>
      </c>
      <c r="K8" s="12">
        <f>Model!G29</f>
        <v>94.861410642587586</v>
      </c>
      <c r="L8" s="13">
        <f>Model!G22</f>
        <v>95.138253987219144</v>
      </c>
      <c r="M8" s="14">
        <f>Model!G61</f>
        <v>-0.11099999999999999</v>
      </c>
      <c r="N8" s="26">
        <f>Model!G60</f>
        <v>-37</v>
      </c>
      <c r="O8" s="10">
        <f>Model!G58</f>
        <v>0</v>
      </c>
      <c r="P8" s="10">
        <f>Model!G59</f>
        <v>-37</v>
      </c>
      <c r="Q8" s="10">
        <f>Model!G63</f>
        <v>0</v>
      </c>
      <c r="R8" s="15">
        <f>Model!G34</f>
        <v>0.48242055999999989</v>
      </c>
      <c r="S8" s="10">
        <f>Model!G39</f>
        <v>0</v>
      </c>
      <c r="T8" s="10">
        <f>Model!G23</f>
        <v>44.942779512383595</v>
      </c>
      <c r="U8" s="10">
        <f>Model!G26</f>
        <v>-6.0894642434645334</v>
      </c>
      <c r="V8" s="10">
        <f>Model!G47</f>
        <v>0</v>
      </c>
      <c r="W8" s="12">
        <f>Model!G48</f>
        <v>95.138253987219144</v>
      </c>
      <c r="X8" s="12">
        <f>Model!G30</f>
        <v>0.51832722746660664</v>
      </c>
      <c r="Y8" s="12" t="e">
        <f>Baseline!H27</f>
        <v>#REF!</v>
      </c>
      <c r="Z8" s="22">
        <f>Model!G39</f>
        <v>0</v>
      </c>
      <c r="AA8" s="24" t="e">
        <f>Baseline!H14</f>
        <v>#REF!</v>
      </c>
      <c r="AB8" s="11">
        <f>Baseline!H18</f>
        <v>22</v>
      </c>
      <c r="AC8" s="11">
        <f>Baseline!H43</f>
        <v>0</v>
      </c>
      <c r="AD8" s="11" t="e">
        <f>Baseline!H23</f>
        <v>#REF!</v>
      </c>
      <c r="AE8" s="11">
        <f>Baseline!H68</f>
        <v>0</v>
      </c>
      <c r="AF8" s="10">
        <f>Baseline!H62</f>
        <v>0</v>
      </c>
      <c r="AG8" s="16">
        <f>Model!G51</f>
        <v>0</v>
      </c>
      <c r="AH8" s="16">
        <f>Model!G52</f>
        <v>0</v>
      </c>
      <c r="AI8" s="16">
        <f>Model!G57</f>
        <v>0</v>
      </c>
      <c r="AJ8" s="17">
        <f>Model!G7</f>
        <v>0</v>
      </c>
      <c r="AK8" s="18" t="e">
        <f>IF(Model!$C$27&gt;0,Baseline!H27/Model!$C$27*100,100)</f>
        <v>#REF!</v>
      </c>
      <c r="AL8" s="18">
        <f>IF(Model!$C$27&gt;0,Baseline!H33/Model!$C$27*100,100)</f>
        <v>0</v>
      </c>
      <c r="AM8" s="19" t="e">
        <f>Baseline!H14</f>
        <v>#REF!</v>
      </c>
      <c r="AN8" s="19">
        <f>Baseline!H43</f>
        <v>0</v>
      </c>
      <c r="AO8" s="20">
        <f>Baseline!H62</f>
        <v>0</v>
      </c>
      <c r="AP8" s="19" t="e">
        <f>Baseline!H15</f>
        <v>#REF!</v>
      </c>
      <c r="AQ8" s="19">
        <f>Baseline!H20</f>
        <v>42.398399999999995</v>
      </c>
      <c r="AR8" s="19" t="e">
        <f>Baseline!H24</f>
        <v>#REF!</v>
      </c>
      <c r="AS8" s="18">
        <f>IF(Baseline!H22&gt;0,Baseline!H27/Baseline!H22,0)</f>
        <v>0</v>
      </c>
      <c r="AT8" s="19">
        <f>Baseline!H18</f>
        <v>22</v>
      </c>
      <c r="AU8" s="19">
        <f>Baseline!H43</f>
        <v>0</v>
      </c>
      <c r="AV8" s="21">
        <f t="shared" si="0"/>
        <v>30</v>
      </c>
      <c r="AW8" s="21">
        <f t="shared" si="0"/>
        <v>30</v>
      </c>
    </row>
    <row r="9" spans="1:49" ht="15" customHeight="1">
      <c r="A9" s="9" t="s">
        <v>539</v>
      </c>
      <c r="B9" s="24">
        <f>Model!H14</f>
        <v>22</v>
      </c>
      <c r="C9" s="24">
        <f>Model!H18</f>
        <v>22</v>
      </c>
      <c r="D9" s="24">
        <f>VRE_Start*(1-VRE_Dep)^5</f>
        <v>30</v>
      </c>
      <c r="E9" s="24">
        <f>Model!H43</f>
        <v>0.76167405368943975</v>
      </c>
      <c r="F9" s="24">
        <f>Model!H45</f>
        <v>0</v>
      </c>
      <c r="G9" s="24" t="e">
        <f>Model!#REF!</f>
        <v>#REF!</v>
      </c>
      <c r="H9" s="24">
        <f>Model!H67</f>
        <v>0</v>
      </c>
      <c r="I9" s="12">
        <f>Model!H27</f>
        <v>107.06492601174099</v>
      </c>
      <c r="J9" s="13">
        <f>Model!H32</f>
        <v>183.84117177838465</v>
      </c>
      <c r="K9" s="12">
        <f>Model!H29</f>
        <v>99.808507866333798</v>
      </c>
      <c r="L9" s="13">
        <f>Model!H22</f>
        <v>91.853256660461781</v>
      </c>
      <c r="M9" s="14">
        <f>Model!H61</f>
        <v>-0.14799999999999999</v>
      </c>
      <c r="N9" s="26">
        <f>Model!H60</f>
        <v>-37</v>
      </c>
      <c r="O9" s="10">
        <f>Model!H58</f>
        <v>0</v>
      </c>
      <c r="P9" s="10">
        <f>Model!H59</f>
        <v>-37</v>
      </c>
      <c r="Q9" s="10">
        <f>Model!H63</f>
        <v>0</v>
      </c>
      <c r="R9" s="15">
        <f>Model!H34</f>
        <v>0.50706719999999994</v>
      </c>
      <c r="S9" s="10">
        <f>Model!H39</f>
        <v>0.2397912514738465</v>
      </c>
      <c r="T9" s="10">
        <f>Model!H23</f>
        <v>47.693266367541035</v>
      </c>
      <c r="U9" s="10">
        <f>Model!H26</f>
        <v>-5.7514469585661914</v>
      </c>
      <c r="V9" s="10">
        <f>Model!H47</f>
        <v>0</v>
      </c>
      <c r="W9" s="12">
        <f>Model!H48</f>
        <v>91.853256660461781</v>
      </c>
      <c r="X9" s="12">
        <f>Model!H30</f>
        <v>-0.2397912514738465</v>
      </c>
      <c r="Y9" s="12" t="e">
        <f>Baseline!I27</f>
        <v>#REF!</v>
      </c>
      <c r="Z9" s="22">
        <f>Model!H39</f>
        <v>0.2397912514738465</v>
      </c>
      <c r="AA9" s="24" t="e">
        <f>Baseline!I14</f>
        <v>#REF!</v>
      </c>
      <c r="AB9" s="11">
        <f>Baseline!I18</f>
        <v>22</v>
      </c>
      <c r="AC9" s="11">
        <f>Baseline!I43</f>
        <v>0</v>
      </c>
      <c r="AD9" s="11" t="e">
        <f>Baseline!I23</f>
        <v>#REF!</v>
      </c>
      <c r="AE9" s="11">
        <f>Baseline!I68</f>
        <v>0</v>
      </c>
      <c r="AF9" s="10">
        <f>Baseline!I62</f>
        <v>0</v>
      </c>
      <c r="AG9" s="16">
        <f>Model!H51</f>
        <v>0</v>
      </c>
      <c r="AH9" s="16">
        <f>Model!H52</f>
        <v>0</v>
      </c>
      <c r="AI9" s="16">
        <f>Model!H57</f>
        <v>0</v>
      </c>
      <c r="AJ9" s="17">
        <f>Model!H7</f>
        <v>0</v>
      </c>
      <c r="AK9" s="18" t="e">
        <f>IF(Model!$C$27&gt;0,Baseline!I27/Model!$C$27*100,100)</f>
        <v>#REF!</v>
      </c>
      <c r="AL9" s="18">
        <f>IF(Model!$C$27&gt;0,Baseline!I33/Model!$C$27*100,100)</f>
        <v>0</v>
      </c>
      <c r="AM9" s="19" t="e">
        <f>Baseline!I14</f>
        <v>#REF!</v>
      </c>
      <c r="AN9" s="19">
        <f>Baseline!I43</f>
        <v>0</v>
      </c>
      <c r="AO9" s="20">
        <f>Baseline!I62</f>
        <v>0</v>
      </c>
      <c r="AP9" s="19" t="e">
        <f>Baseline!I15</f>
        <v>#REF!</v>
      </c>
      <c r="AQ9" s="19">
        <f>Baseline!I20</f>
        <v>42.398399999999995</v>
      </c>
      <c r="AR9" s="19" t="e">
        <f>Baseline!I24</f>
        <v>#REF!</v>
      </c>
      <c r="AS9" s="18">
        <f>IF(Baseline!I22&gt;0,Baseline!I27/Baseline!I22,0)</f>
        <v>0</v>
      </c>
      <c r="AT9" s="19">
        <f>Baseline!I18</f>
        <v>22</v>
      </c>
      <c r="AU9" s="19">
        <f>Baseline!I43</f>
        <v>0</v>
      </c>
      <c r="AV9" s="21">
        <f t="shared" si="0"/>
        <v>30</v>
      </c>
      <c r="AW9" s="21">
        <f t="shared" si="0"/>
        <v>30</v>
      </c>
    </row>
    <row r="10" spans="1:49" ht="15" customHeight="1">
      <c r="A10" s="9" t="s">
        <v>540</v>
      </c>
      <c r="B10" s="24">
        <f>Model!I14</f>
        <v>22</v>
      </c>
      <c r="C10" s="24">
        <f>Model!I18</f>
        <v>22</v>
      </c>
      <c r="D10" s="24">
        <f>VRE_Start*(1-VRE_Dep)^6</f>
        <v>30</v>
      </c>
      <c r="E10" s="24">
        <f>Model!I43</f>
        <v>1.5751906651193792</v>
      </c>
      <c r="F10" s="24">
        <f>Model!I45</f>
        <v>0</v>
      </c>
      <c r="G10" s="24" t="e">
        <f>Model!#REF!</f>
        <v>#REF!</v>
      </c>
      <c r="H10" s="24">
        <f>Model!I67</f>
        <v>0</v>
      </c>
      <c r="I10" s="12">
        <f>Model!I27</f>
        <v>102.31940702615158</v>
      </c>
      <c r="J10" s="13">
        <f>Model!I32</f>
        <v>193.41339992569897</v>
      </c>
      <c r="K10" s="12">
        <f>Model!I29</f>
        <v>95.86740833662509</v>
      </c>
      <c r="L10" s="13">
        <f>Model!I22</f>
        <v>88.844945592806397</v>
      </c>
      <c r="M10" s="14">
        <f>Model!I61</f>
        <v>-0.185</v>
      </c>
      <c r="N10" s="26">
        <f>Model!I60</f>
        <v>-37</v>
      </c>
      <c r="O10" s="10">
        <f>Model!I58</f>
        <v>0</v>
      </c>
      <c r="P10" s="10">
        <f>Model!I59</f>
        <v>-37</v>
      </c>
      <c r="Q10" s="10">
        <f>Model!I63</f>
        <v>0</v>
      </c>
      <c r="R10" s="15">
        <f>Model!I34</f>
        <v>0.53171383999999988</v>
      </c>
      <c r="S10" s="10">
        <f>Model!I39</f>
        <v>0.83253280474698244</v>
      </c>
      <c r="T10" s="10">
        <f>Model!I23</f>
        <v>50.262398664925648</v>
      </c>
      <c r="U10" s="10">
        <f>Model!I26</f>
        <v>-6.3337635248530262</v>
      </c>
      <c r="V10" s="10">
        <f>Model!I47</f>
        <v>0</v>
      </c>
      <c r="W10" s="12">
        <f>Model!I48</f>
        <v>88.844945592806397</v>
      </c>
      <c r="X10" s="12">
        <f>Model!I30</f>
        <v>-0.83253280474698244</v>
      </c>
      <c r="Y10" s="12" t="e">
        <f>Baseline!J27</f>
        <v>#REF!</v>
      </c>
      <c r="Z10" s="22">
        <f>Model!I39</f>
        <v>0.83253280474698244</v>
      </c>
      <c r="AA10" s="24" t="e">
        <f>Baseline!J14</f>
        <v>#REF!</v>
      </c>
      <c r="AB10" s="11">
        <f>Baseline!J18</f>
        <v>22</v>
      </c>
      <c r="AC10" s="11">
        <f>Baseline!J43</f>
        <v>0</v>
      </c>
      <c r="AD10" s="11" t="e">
        <f>Baseline!J23</f>
        <v>#REF!</v>
      </c>
      <c r="AE10" s="11">
        <f>Baseline!J68</f>
        <v>0</v>
      </c>
      <c r="AF10" s="10">
        <f>Baseline!J62</f>
        <v>0</v>
      </c>
      <c r="AG10" s="16">
        <f>Model!I51</f>
        <v>0</v>
      </c>
      <c r="AH10" s="16">
        <f>Model!I52</f>
        <v>0</v>
      </c>
      <c r="AI10" s="16">
        <f>Model!I57</f>
        <v>0</v>
      </c>
      <c r="AJ10" s="17">
        <f>Model!I7</f>
        <v>0</v>
      </c>
      <c r="AK10" s="18" t="e">
        <f>IF(Model!$C$27&gt;0,Baseline!J27/Model!$C$27*100,100)</f>
        <v>#REF!</v>
      </c>
      <c r="AL10" s="18">
        <f>IF(Model!$C$27&gt;0,Baseline!J33/Model!$C$27*100,100)</f>
        <v>0</v>
      </c>
      <c r="AM10" s="19" t="e">
        <f>Baseline!J14</f>
        <v>#REF!</v>
      </c>
      <c r="AN10" s="19">
        <f>Baseline!J43</f>
        <v>0</v>
      </c>
      <c r="AO10" s="20">
        <f>Baseline!J62</f>
        <v>0</v>
      </c>
      <c r="AP10" s="19" t="e">
        <f>Baseline!J15</f>
        <v>#REF!</v>
      </c>
      <c r="AQ10" s="19">
        <f>Baseline!J20</f>
        <v>42.398399999999995</v>
      </c>
      <c r="AR10" s="19" t="e">
        <f>Baseline!J24</f>
        <v>#REF!</v>
      </c>
      <c r="AS10" s="18">
        <f>IF(Baseline!J22&gt;0,Baseline!J27/Baseline!J22,0)</f>
        <v>0</v>
      </c>
      <c r="AT10" s="19">
        <f>Baseline!J18</f>
        <v>22</v>
      </c>
      <c r="AU10" s="19">
        <f>Baseline!J43</f>
        <v>0</v>
      </c>
      <c r="AV10" s="21">
        <f t="shared" si="0"/>
        <v>30</v>
      </c>
      <c r="AW10" s="21">
        <f t="shared" si="0"/>
        <v>30</v>
      </c>
    </row>
    <row r="11" spans="1:49" ht="15" customHeight="1">
      <c r="A11" s="9" t="s">
        <v>541</v>
      </c>
      <c r="B11" s="24">
        <f>Model!J14</f>
        <v>22</v>
      </c>
      <c r="C11" s="24">
        <f>Model!J18</f>
        <v>22</v>
      </c>
      <c r="D11" s="24">
        <f>VRE_Start*(1-VRE_Dep)^7</f>
        <v>30</v>
      </c>
      <c r="E11" s="24">
        <f>Model!J43</f>
        <v>2.6866710488492345</v>
      </c>
      <c r="F11" s="24">
        <f>Model!J45</f>
        <v>0</v>
      </c>
      <c r="G11" s="24" t="e">
        <f>Model!#REF!</f>
        <v>#REF!</v>
      </c>
      <c r="H11" s="24">
        <f>Model!J67</f>
        <v>0</v>
      </c>
      <c r="I11" s="12">
        <f>Model!J27</f>
        <v>100.99120583818092</v>
      </c>
      <c r="J11" s="13">
        <f>Model!J32</f>
        <v>197.486849147241</v>
      </c>
      <c r="K11" s="12">
        <f>Model!J29</f>
        <v>94.206566264843246</v>
      </c>
      <c r="L11" s="13">
        <f>Model!J22</f>
        <v>86.77536459303272</v>
      </c>
      <c r="M11" s="14">
        <f>Model!J61</f>
        <v>-0.222</v>
      </c>
      <c r="N11" s="26">
        <f>Model!J60</f>
        <v>-37</v>
      </c>
      <c r="O11" s="10">
        <f>Model!J58</f>
        <v>0</v>
      </c>
      <c r="P11" s="10">
        <f>Model!J59</f>
        <v>-37</v>
      </c>
      <c r="Q11" s="10">
        <f>Model!J63</f>
        <v>0</v>
      </c>
      <c r="R11" s="15">
        <f>Model!J34</f>
        <v>0.55636047999999994</v>
      </c>
      <c r="S11" s="10">
        <f>Model!J39</f>
        <v>1.0954343089994723</v>
      </c>
      <c r="T11" s="10">
        <f>Model!J23</f>
        <v>53.231679466608135</v>
      </c>
      <c r="U11" s="10">
        <f>Model!J26</f>
        <v>-6.1680260843938299</v>
      </c>
      <c r="V11" s="10">
        <f>Model!J47</f>
        <v>0</v>
      </c>
      <c r="W11" s="12">
        <f>Model!J48</f>
        <v>86.77536459303272</v>
      </c>
      <c r="X11" s="12">
        <f>Model!J30</f>
        <v>-1.0954343089994723</v>
      </c>
      <c r="Y11" s="12" t="e">
        <f>Baseline!K27</f>
        <v>#REF!</v>
      </c>
      <c r="Z11" s="22">
        <f>Model!J39</f>
        <v>1.0954343089994723</v>
      </c>
      <c r="AA11" s="24" t="e">
        <f>Baseline!K14</f>
        <v>#REF!</v>
      </c>
      <c r="AB11" s="11">
        <f>Baseline!K18</f>
        <v>22</v>
      </c>
      <c r="AC11" s="11">
        <f>Baseline!K43</f>
        <v>0</v>
      </c>
      <c r="AD11" s="11" t="e">
        <f>Baseline!K23</f>
        <v>#REF!</v>
      </c>
      <c r="AE11" s="11">
        <f>Baseline!K68</f>
        <v>0</v>
      </c>
      <c r="AF11" s="10">
        <f>Baseline!K62</f>
        <v>0</v>
      </c>
      <c r="AG11" s="16">
        <f>Model!J51</f>
        <v>0</v>
      </c>
      <c r="AH11" s="16">
        <f>Model!J52</f>
        <v>0</v>
      </c>
      <c r="AI11" s="16">
        <f>Model!J57</f>
        <v>0</v>
      </c>
      <c r="AJ11" s="17">
        <f>Model!J7</f>
        <v>0</v>
      </c>
      <c r="AK11" s="18" t="e">
        <f>IF(Model!$C$27&gt;0,Baseline!K27/Model!$C$27*100,100)</f>
        <v>#REF!</v>
      </c>
      <c r="AL11" s="18">
        <f>IF(Model!$C$27&gt;0,Baseline!K33/Model!$C$27*100,100)</f>
        <v>0</v>
      </c>
      <c r="AM11" s="19" t="e">
        <f>Baseline!K14</f>
        <v>#REF!</v>
      </c>
      <c r="AN11" s="19">
        <f>Baseline!K43</f>
        <v>0</v>
      </c>
      <c r="AO11" s="20">
        <f>Baseline!K62</f>
        <v>0</v>
      </c>
      <c r="AP11" s="19" t="e">
        <f>Baseline!K15</f>
        <v>#REF!</v>
      </c>
      <c r="AQ11" s="19">
        <f>Baseline!K20</f>
        <v>42.398399999999995</v>
      </c>
      <c r="AR11" s="19" t="e">
        <f>Baseline!K24</f>
        <v>#REF!</v>
      </c>
      <c r="AS11" s="18">
        <f>IF(Baseline!K22&gt;0,Baseline!K27/Baseline!K22,0)</f>
        <v>0</v>
      </c>
      <c r="AT11" s="19">
        <f>Baseline!K18</f>
        <v>22</v>
      </c>
      <c r="AU11" s="19">
        <f>Baseline!K43</f>
        <v>0</v>
      </c>
      <c r="AV11" s="21">
        <f t="shared" si="0"/>
        <v>30</v>
      </c>
      <c r="AW11" s="21">
        <f t="shared" si="0"/>
        <v>30</v>
      </c>
    </row>
    <row r="12" spans="1:49" ht="15" customHeight="1">
      <c r="A12" s="9" t="s">
        <v>542</v>
      </c>
      <c r="B12" s="24">
        <f>Model!K14</f>
        <v>21.911679600889403</v>
      </c>
      <c r="C12" s="24">
        <f>Model!K18</f>
        <v>22</v>
      </c>
      <c r="D12" s="24">
        <f>VRE_Start*(1-VRE_Dep)^8</f>
        <v>30</v>
      </c>
      <c r="E12" s="24">
        <f>Model!K43</f>
        <v>4.354531228377482</v>
      </c>
      <c r="F12" s="24">
        <f>Model!K45</f>
        <v>0</v>
      </c>
      <c r="G12" s="24" t="e">
        <f>Model!#REF!</f>
        <v>#REF!</v>
      </c>
      <c r="H12" s="24">
        <f>Model!K67</f>
        <v>0</v>
      </c>
      <c r="I12" s="12">
        <f>Model!K27</f>
        <v>97.852877575540276</v>
      </c>
      <c r="J12" s="13">
        <f>Model!K32</f>
        <v>206.0429772809039</v>
      </c>
      <c r="K12" s="12">
        <f>Model!K29</f>
        <v>91.569230604734528</v>
      </c>
      <c r="L12" s="13">
        <f>Model!K22</f>
        <v>84.717967900599149</v>
      </c>
      <c r="M12" s="14">
        <f>Model!K61</f>
        <v>-0.25900000000000001</v>
      </c>
      <c r="N12" s="26">
        <f>Model!K60</f>
        <v>-37</v>
      </c>
      <c r="O12" s="10">
        <f>Model!K58</f>
        <v>0</v>
      </c>
      <c r="P12" s="10">
        <f>Model!K59</f>
        <v>-37</v>
      </c>
      <c r="Q12" s="10">
        <f>Model!K63</f>
        <v>0</v>
      </c>
      <c r="R12" s="15">
        <f>Model!K34</f>
        <v>0.58100711999999999</v>
      </c>
      <c r="S12" s="10">
        <f>Model!K39</f>
        <v>1.6284743944274709</v>
      </c>
      <c r="T12" s="10">
        <f>Model!K23</f>
        <v>56.612355322170231</v>
      </c>
      <c r="U12" s="10">
        <f>Model!K26</f>
        <v>-5.4177144994888522</v>
      </c>
      <c r="V12" s="10">
        <f>Model!K47</f>
        <v>71.727633263246645</v>
      </c>
      <c r="W12" s="12">
        <f>Model!K48</f>
        <v>94.171034073969423</v>
      </c>
      <c r="X12" s="12">
        <f>Model!K30</f>
        <v>-1.6284743944274709</v>
      </c>
      <c r="Y12" s="12" t="e">
        <f>Baseline!L27</f>
        <v>#REF!</v>
      </c>
      <c r="Z12" s="22">
        <f>Model!K39</f>
        <v>1.6284743944274709</v>
      </c>
      <c r="AA12" s="24" t="e">
        <f>Baseline!L14</f>
        <v>#REF!</v>
      </c>
      <c r="AB12" s="11">
        <f>Baseline!L18</f>
        <v>22</v>
      </c>
      <c r="AC12" s="11">
        <f>Baseline!L43</f>
        <v>0</v>
      </c>
      <c r="AD12" s="11" t="e">
        <f>Baseline!L23</f>
        <v>#REF!</v>
      </c>
      <c r="AE12" s="11">
        <f>Baseline!L68</f>
        <v>0</v>
      </c>
      <c r="AF12" s="10">
        <f>Baseline!L62</f>
        <v>0</v>
      </c>
      <c r="AG12" s="16">
        <f>Model!K51</f>
        <v>0.21581212632646185</v>
      </c>
      <c r="AH12" s="16">
        <f>Model!K52</f>
        <v>54.599366405050532</v>
      </c>
      <c r="AI12" s="16">
        <f>Model!K57</f>
        <v>0</v>
      </c>
      <c r="AJ12" s="17">
        <f>Model!K7</f>
        <v>0</v>
      </c>
      <c r="AK12" s="18" t="e">
        <f>IF(Model!$C$27&gt;0,Baseline!L27/Model!$C$27*100,100)</f>
        <v>#REF!</v>
      </c>
      <c r="AL12" s="18">
        <f>IF(Model!$C$27&gt;0,Baseline!L33/Model!$C$27*100,100)</f>
        <v>0</v>
      </c>
      <c r="AM12" s="19" t="e">
        <f>Baseline!L14</f>
        <v>#REF!</v>
      </c>
      <c r="AN12" s="19">
        <f>Baseline!L43</f>
        <v>0</v>
      </c>
      <c r="AO12" s="20">
        <f>Baseline!L62</f>
        <v>0</v>
      </c>
      <c r="AP12" s="19" t="e">
        <f>Baseline!L15</f>
        <v>#REF!</v>
      </c>
      <c r="AQ12" s="19">
        <f>Baseline!L20</f>
        <v>42.398399999999995</v>
      </c>
      <c r="AR12" s="19" t="e">
        <f>Baseline!L24</f>
        <v>#REF!</v>
      </c>
      <c r="AS12" s="18">
        <f>IF(Baseline!L22&gt;0,Baseline!L27/Baseline!L22,0)</f>
        <v>0</v>
      </c>
      <c r="AT12" s="19">
        <f>Baseline!L18</f>
        <v>22</v>
      </c>
      <c r="AU12" s="19">
        <f>Baseline!L43</f>
        <v>0</v>
      </c>
      <c r="AV12" s="21">
        <f t="shared" si="0"/>
        <v>30</v>
      </c>
      <c r="AW12" s="21">
        <f t="shared" si="0"/>
        <v>30</v>
      </c>
    </row>
    <row r="13" spans="1:49" ht="15" customHeight="1">
      <c r="A13" s="9" t="s">
        <v>502</v>
      </c>
      <c r="B13" s="24">
        <f>Model!L14</f>
        <v>21.610282102326622</v>
      </c>
      <c r="C13" s="24">
        <f>Model!L18</f>
        <v>22</v>
      </c>
      <c r="D13" s="24">
        <f>VRE_Start*(1-VRE_Dep)^9</f>
        <v>30</v>
      </c>
      <c r="E13" s="24">
        <f>Model!L43</f>
        <v>5.8617938130025991</v>
      </c>
      <c r="F13" s="24">
        <f>Model!L45</f>
        <v>0</v>
      </c>
      <c r="G13" s="24" t="e">
        <f>Model!#REF!</f>
        <v>#REF!</v>
      </c>
      <c r="H13" s="24">
        <f>Model!L67</f>
        <v>0</v>
      </c>
      <c r="I13" s="12">
        <f>Model!L27</f>
        <v>94.601061974635812</v>
      </c>
      <c r="J13" s="13">
        <f>Model!L32</f>
        <v>211.52699440695795</v>
      </c>
      <c r="K13" s="12">
        <f>Model!L29</f>
        <v>89.308659630583264</v>
      </c>
      <c r="L13" s="13">
        <f>Model!L22</f>
        <v>83.609140649209451</v>
      </c>
      <c r="M13" s="14">
        <f>Model!L61</f>
        <v>-0.31786307303768746</v>
      </c>
      <c r="N13" s="26">
        <f>Model!L60</f>
        <v>-58.863073037687421</v>
      </c>
      <c r="O13" s="10">
        <f>Model!L58</f>
        <v>-21.423541715742402</v>
      </c>
      <c r="P13" s="10">
        <f>Model!L59</f>
        <v>-37</v>
      </c>
      <c r="Q13" s="10">
        <f>Model!L63</f>
        <v>0</v>
      </c>
      <c r="R13" s="15">
        <f>Model!L34</f>
        <v>0.60565375999999993</v>
      </c>
      <c r="S13" s="10">
        <f>Model!L39</f>
        <v>1.9839382808836703</v>
      </c>
      <c r="T13" s="10">
        <f>Model!L23</f>
        <v>59.544497652138801</v>
      </c>
      <c r="U13" s="10">
        <f>Model!L26</f>
        <v>-6.483460927227128</v>
      </c>
      <c r="V13" s="10">
        <f>Model!L47</f>
        <v>140.38569866866459</v>
      </c>
      <c r="W13" s="12">
        <f>Model!L48</f>
        <v>92.566046396774027</v>
      </c>
      <c r="X13" s="12">
        <f>Model!L30</f>
        <v>-1.9839382808836703</v>
      </c>
      <c r="Y13" s="12" t="e">
        <f>Baseline!M27</f>
        <v>#REF!</v>
      </c>
      <c r="Z13" s="22">
        <f>Model!L39</f>
        <v>1.9839382808836703</v>
      </c>
      <c r="AA13" s="24" t="e">
        <f>Baseline!M14</f>
        <v>#REF!</v>
      </c>
      <c r="AB13" s="11">
        <f>Baseline!M18</f>
        <v>22</v>
      </c>
      <c r="AC13" s="11">
        <f>Baseline!M43</f>
        <v>0</v>
      </c>
      <c r="AD13" s="11" t="e">
        <f>Baseline!M23</f>
        <v>#REF!</v>
      </c>
      <c r="AE13" s="11">
        <f>Baseline!M68</f>
        <v>0</v>
      </c>
      <c r="AF13" s="10">
        <f>Baseline!M62</f>
        <v>0</v>
      </c>
      <c r="AG13" s="16">
        <f>Model!L51</f>
        <v>0.75425980411058724</v>
      </c>
      <c r="AH13" s="16">
        <f>Model!L52</f>
        <v>190.8238805216111</v>
      </c>
      <c r="AI13" s="16">
        <f>Model!L57</f>
        <v>1.6600932794343218E-2</v>
      </c>
      <c r="AJ13" s="17">
        <f>Model!L7</f>
        <v>0</v>
      </c>
      <c r="AK13" s="18" t="e">
        <f>IF(Model!$C$27&gt;0,Baseline!M27/Model!$C$27*100,100)</f>
        <v>#REF!</v>
      </c>
      <c r="AL13" s="18">
        <f>IF(Model!$C$27&gt;0,Baseline!M33/Model!$C$27*100,100)</f>
        <v>0</v>
      </c>
      <c r="AM13" s="19" t="e">
        <f>Baseline!M14</f>
        <v>#REF!</v>
      </c>
      <c r="AN13" s="19">
        <f>Baseline!M43</f>
        <v>0</v>
      </c>
      <c r="AO13" s="20">
        <f>Baseline!M62</f>
        <v>0</v>
      </c>
      <c r="AP13" s="19" t="e">
        <f>Baseline!M15</f>
        <v>#REF!</v>
      </c>
      <c r="AQ13" s="19">
        <f>Baseline!M20</f>
        <v>42.398399999999995</v>
      </c>
      <c r="AR13" s="19" t="e">
        <f>Baseline!M24</f>
        <v>#REF!</v>
      </c>
      <c r="AS13" s="18">
        <f>IF(Baseline!M22&gt;0,Baseline!M27/Baseline!M22,0)</f>
        <v>0</v>
      </c>
      <c r="AT13" s="19">
        <f>Baseline!M18</f>
        <v>22</v>
      </c>
      <c r="AU13" s="19">
        <f>Baseline!M43</f>
        <v>0</v>
      </c>
      <c r="AV13" s="21">
        <f t="shared" si="0"/>
        <v>30</v>
      </c>
      <c r="AW13" s="21">
        <f t="shared" si="0"/>
        <v>30</v>
      </c>
    </row>
    <row r="14" spans="1:49" ht="15" customHeight="1">
      <c r="A14" s="9" t="s">
        <v>543</v>
      </c>
      <c r="B14" s="24">
        <f>Model!M14</f>
        <v>21.110288524636157</v>
      </c>
      <c r="C14" s="24">
        <f>Model!M18</f>
        <v>22</v>
      </c>
      <c r="D14" s="24">
        <f>VRE_Start*(1-VRE_Dep)^10</f>
        <v>30</v>
      </c>
      <c r="E14" s="24">
        <f>Model!M43</f>
        <v>8.2380396431614145</v>
      </c>
      <c r="F14" s="24">
        <f>Model!M45</f>
        <v>0</v>
      </c>
      <c r="G14" s="24" t="e">
        <f>Model!#REF!</f>
        <v>#REF!</v>
      </c>
      <c r="H14" s="24">
        <f>Model!M67</f>
        <v>0</v>
      </c>
      <c r="I14" s="12">
        <f>Model!M27</f>
        <v>95.206972488437572</v>
      </c>
      <c r="J14" s="13">
        <f>Model!M32</f>
        <v>213.24250982923618</v>
      </c>
      <c r="K14" s="12">
        <f>Model!M29</f>
        <v>89.090580595114403</v>
      </c>
      <c r="L14" s="13">
        <f>Model!M22</f>
        <v>82.42139859641054</v>
      </c>
      <c r="M14" s="14">
        <f>Model!M61</f>
        <v>-0.4304155133278425</v>
      </c>
      <c r="N14" s="26">
        <f>Model!M60</f>
        <v>-112.55244029015506</v>
      </c>
      <c r="O14" s="10">
        <f>Model!M58</f>
        <v>-74.974678967606735</v>
      </c>
      <c r="P14" s="10">
        <f>Model!M59</f>
        <v>-37</v>
      </c>
      <c r="Q14" s="10">
        <f>Model!M63</f>
        <v>0</v>
      </c>
      <c r="R14" s="15">
        <f>Model!M34</f>
        <v>0.63030039999999987</v>
      </c>
      <c r="S14" s="10">
        <f>Model!M39</f>
        <v>2.1248938132436166</v>
      </c>
      <c r="T14" s="10">
        <f>Model!M23</f>
        <v>63.588038981973583</v>
      </c>
      <c r="U14" s="10">
        <f>Model!M26</f>
        <v>-5.8964117756141547</v>
      </c>
      <c r="V14" s="10">
        <f>Model!M47</f>
        <v>229.14443146152951</v>
      </c>
      <c r="W14" s="12">
        <f>Model!M48</f>
        <v>91.241013874565724</v>
      </c>
      <c r="X14" s="12">
        <f>Model!M30</f>
        <v>-2.1248938132436166</v>
      </c>
      <c r="Y14" s="12" t="e">
        <f>Baseline!N27</f>
        <v>#REF!</v>
      </c>
      <c r="Z14" s="22">
        <f>Model!M39</f>
        <v>2.1248938132436166</v>
      </c>
      <c r="AA14" s="24" t="e">
        <f>Baseline!N14</f>
        <v>#REF!</v>
      </c>
      <c r="AB14" s="11">
        <f>Baseline!N18</f>
        <v>22</v>
      </c>
      <c r="AC14" s="11">
        <f>Baseline!N43</f>
        <v>0</v>
      </c>
      <c r="AD14" s="11" t="e">
        <f>Baseline!N23</f>
        <v>#REF!</v>
      </c>
      <c r="AE14" s="11">
        <f>Baseline!N68</f>
        <v>0</v>
      </c>
      <c r="AF14" s="10">
        <f>Baseline!N62</f>
        <v>0</v>
      </c>
      <c r="AG14" s="16">
        <f>Model!M51</f>
        <v>0.98835603406409134</v>
      </c>
      <c r="AH14" s="16">
        <f>Model!M52</f>
        <v>250.04903181796402</v>
      </c>
      <c r="AI14" s="16">
        <f>Model!M57</f>
        <v>5.801998493158364E-2</v>
      </c>
      <c r="AJ14" s="17">
        <f>Model!M7</f>
        <v>0</v>
      </c>
      <c r="AK14" s="18" t="e">
        <f>IF(Model!$C$27&gt;0,Baseline!N27/Model!$C$27*100,100)</f>
        <v>#REF!</v>
      </c>
      <c r="AL14" s="18">
        <f>IF(Model!$C$27&gt;0,Baseline!N33/Model!$C$27*100,100)</f>
        <v>0</v>
      </c>
      <c r="AM14" s="19" t="e">
        <f>Baseline!N14</f>
        <v>#REF!</v>
      </c>
      <c r="AN14" s="19">
        <f>Baseline!N43</f>
        <v>0</v>
      </c>
      <c r="AO14" s="20">
        <f>Baseline!N62</f>
        <v>0</v>
      </c>
      <c r="AP14" s="19" t="e">
        <f>Baseline!N15</f>
        <v>#REF!</v>
      </c>
      <c r="AQ14" s="19">
        <f>Baseline!N20</f>
        <v>42.398399999999995</v>
      </c>
      <c r="AR14" s="19" t="e">
        <f>Baseline!N24</f>
        <v>#REF!</v>
      </c>
      <c r="AS14" s="18">
        <f>IF(Baseline!N22&gt;0,Baseline!N27/Baseline!N22,0)</f>
        <v>0</v>
      </c>
      <c r="AT14" s="19">
        <f>Baseline!N18</f>
        <v>22</v>
      </c>
      <c r="AU14" s="19">
        <f>Baseline!N43</f>
        <v>0</v>
      </c>
      <c r="AV14" s="21">
        <f t="shared" si="0"/>
        <v>30</v>
      </c>
      <c r="AW14" s="21">
        <f t="shared" si="0"/>
        <v>30</v>
      </c>
    </row>
    <row r="15" spans="1:49" ht="15" customHeight="1">
      <c r="A15" s="9" t="s">
        <v>544</v>
      </c>
      <c r="B15" s="24">
        <f>Model!N14</f>
        <v>20.539529267290401</v>
      </c>
      <c r="C15" s="24">
        <f>Model!N18</f>
        <v>22</v>
      </c>
      <c r="D15" s="24">
        <f>VRE_Start*(1-VRE_Dep)^11</f>
        <v>30</v>
      </c>
      <c r="E15" s="24">
        <f>Model!N43</f>
        <v>10.352224506634357</v>
      </c>
      <c r="F15" s="24">
        <f>Model!N45</f>
        <v>0</v>
      </c>
      <c r="G15" s="24" t="e">
        <f>Model!#REF!</f>
        <v>#REF!</v>
      </c>
      <c r="H15" s="24">
        <f>Model!N67</f>
        <v>0</v>
      </c>
      <c r="I15" s="12">
        <f>Model!N27</f>
        <v>92.758131594219719</v>
      </c>
      <c r="J15" s="13">
        <f>Model!N32</f>
        <v>222.05706450113058</v>
      </c>
      <c r="K15" s="12">
        <f>Model!N29</f>
        <v>87.401522550905298</v>
      </c>
      <c r="L15" s="13">
        <f>Model!N22</f>
        <v>81.617483375149831</v>
      </c>
      <c r="M15" s="14">
        <f>Model!N61</f>
        <v>-0.56784985471846805</v>
      </c>
      <c r="N15" s="26">
        <f>Model!N60</f>
        <v>-137.43434139062558</v>
      </c>
      <c r="O15" s="10">
        <f>Model!N58</f>
        <v>-99.256654817797752</v>
      </c>
      <c r="P15" s="10">
        <f>Model!N59</f>
        <v>-37</v>
      </c>
      <c r="Q15" s="10">
        <f>Model!N63</f>
        <v>0</v>
      </c>
      <c r="R15" s="15">
        <f>Model!N34</f>
        <v>0.65494703999999992</v>
      </c>
      <c r="S15" s="10">
        <f>Model!N39</f>
        <v>2.6854013325387029</v>
      </c>
      <c r="T15" s="10">
        <f>Model!N23</f>
        <v>67.148233639385381</v>
      </c>
      <c r="U15" s="10">
        <f>Model!N26</f>
        <v>-6.5956585362796147</v>
      </c>
      <c r="V15" s="10">
        <f>Model!N47</f>
        <v>358.94193612197842</v>
      </c>
      <c r="W15" s="12">
        <f>Model!N48</f>
        <v>90.048554470856857</v>
      </c>
      <c r="X15" s="12">
        <f>Model!N30</f>
        <v>-2.6854013325387029</v>
      </c>
      <c r="Y15" s="12" t="e">
        <f>Baseline!O27</f>
        <v>#REF!</v>
      </c>
      <c r="Z15" s="22">
        <f>Model!N39</f>
        <v>2.6854013325387029</v>
      </c>
      <c r="AA15" s="24" t="e">
        <f>Baseline!O14</f>
        <v>#REF!</v>
      </c>
      <c r="AB15" s="11">
        <f>Baseline!O18</f>
        <v>22</v>
      </c>
      <c r="AC15" s="11">
        <f>Baseline!O43</f>
        <v>0</v>
      </c>
      <c r="AD15" s="11" t="e">
        <f>Baseline!O23</f>
        <v>#REF!</v>
      </c>
      <c r="AE15" s="11">
        <f>Baseline!O68</f>
        <v>0</v>
      </c>
      <c r="AF15" s="10">
        <f>Baseline!O62</f>
        <v>0</v>
      </c>
      <c r="AG15" s="16">
        <f>Model!N51</f>
        <v>1.6155072588959154</v>
      </c>
      <c r="AH15" s="16">
        <f>Model!N52</f>
        <v>408.71509057395144</v>
      </c>
      <c r="AI15" s="16">
        <f>Model!N57</f>
        <v>7.6027387235699337E-2</v>
      </c>
      <c r="AJ15" s="17">
        <f>Model!N7</f>
        <v>0</v>
      </c>
      <c r="AK15" s="18" t="e">
        <f>IF(Model!$C$27&gt;0,Baseline!O27/Model!$C$27*100,100)</f>
        <v>#REF!</v>
      </c>
      <c r="AL15" s="18">
        <f>IF(Model!$C$27&gt;0,Baseline!O33/Model!$C$27*100,100)</f>
        <v>0</v>
      </c>
      <c r="AM15" s="19" t="e">
        <f>Baseline!O14</f>
        <v>#REF!</v>
      </c>
      <c r="AN15" s="19">
        <f>Baseline!O43</f>
        <v>0</v>
      </c>
      <c r="AO15" s="20">
        <f>Baseline!O62</f>
        <v>0</v>
      </c>
      <c r="AP15" s="19" t="e">
        <f>Baseline!O15</f>
        <v>#REF!</v>
      </c>
      <c r="AQ15" s="19">
        <f>Baseline!O20</f>
        <v>42.398399999999995</v>
      </c>
      <c r="AR15" s="19" t="e">
        <f>Baseline!O24</f>
        <v>#REF!</v>
      </c>
      <c r="AS15" s="18">
        <f>IF(Baseline!O22&gt;0,Baseline!O27/Baseline!O22,0)</f>
        <v>0</v>
      </c>
      <c r="AT15" s="19">
        <f>Baseline!O18</f>
        <v>22</v>
      </c>
      <c r="AU15" s="19">
        <f>Baseline!O43</f>
        <v>0</v>
      </c>
      <c r="AV15" s="21">
        <f t="shared" si="0"/>
        <v>30</v>
      </c>
      <c r="AW15" s="21">
        <f t="shared" si="0"/>
        <v>30</v>
      </c>
    </row>
    <row r="16" spans="1:49" ht="15" customHeight="1">
      <c r="A16" s="9" t="s">
        <v>545</v>
      </c>
      <c r="B16" s="24">
        <f>Model!O14</f>
        <v>19.82827264990269</v>
      </c>
      <c r="C16" s="24">
        <f>Model!O18</f>
        <v>22</v>
      </c>
      <c r="D16" s="24">
        <f>VRE_Start*(1-VRE_Dep)^12</f>
        <v>30</v>
      </c>
      <c r="E16" s="24">
        <f>Model!O43</f>
        <v>12.911017644357763</v>
      </c>
      <c r="F16" s="24">
        <f>Model!O45</f>
        <v>0</v>
      </c>
      <c r="G16" s="24" t="e">
        <f>Model!#REF!</f>
        <v>#REF!</v>
      </c>
      <c r="H16" s="24">
        <f>Model!O67</f>
        <v>0</v>
      </c>
      <c r="I16" s="12">
        <f>Model!O27</f>
        <v>93.234805435032371</v>
      </c>
      <c r="J16" s="13">
        <f>Model!O32</f>
        <v>218.3393858014129</v>
      </c>
      <c r="K16" s="12">
        <f>Model!O29</f>
        <v>87.413786594922698</v>
      </c>
      <c r="L16" s="13">
        <f>Model!O22</f>
        <v>81.084066072951671</v>
      </c>
      <c r="M16" s="14">
        <f>Model!O61</f>
        <v>-0.76830470364882752</v>
      </c>
      <c r="N16" s="26">
        <f>Model!O60</f>
        <v>-200.4548489303595</v>
      </c>
      <c r="O16" s="10">
        <f>Model!O58</f>
        <v>-162.22693556131841</v>
      </c>
      <c r="P16" s="10">
        <f>Model!O59</f>
        <v>-37</v>
      </c>
      <c r="Q16" s="10">
        <f>Model!O63</f>
        <v>0</v>
      </c>
      <c r="R16" s="15">
        <f>Model!O34</f>
        <v>0.67959367999999998</v>
      </c>
      <c r="S16" s="10">
        <f>Model!O39</f>
        <v>2.5188649600140138</v>
      </c>
      <c r="T16" s="10">
        <f>Model!O23</f>
        <v>71.289456907601547</v>
      </c>
      <c r="U16" s="10">
        <f>Model!O26</f>
        <v>-6.6317802969096533</v>
      </c>
      <c r="V16" s="10">
        <f>Model!O47</f>
        <v>462.41108932258112</v>
      </c>
      <c r="W16" s="12">
        <f>Model!O48</f>
        <v>89.152663872164695</v>
      </c>
      <c r="X16" s="12">
        <f>Model!O30</f>
        <v>-2.5188649600140138</v>
      </c>
      <c r="Y16" s="12" t="e">
        <f>Baseline!P27</f>
        <v>#REF!</v>
      </c>
      <c r="Z16" s="22">
        <f>Model!O39</f>
        <v>2.5188649600140138</v>
      </c>
      <c r="AA16" s="24" t="e">
        <f>Baseline!P14</f>
        <v>#REF!</v>
      </c>
      <c r="AB16" s="11">
        <f>Baseline!P18</f>
        <v>22</v>
      </c>
      <c r="AC16" s="11">
        <f>Baseline!P43</f>
        <v>0</v>
      </c>
      <c r="AD16" s="11" t="e">
        <f>Baseline!P23</f>
        <v>#REF!</v>
      </c>
      <c r="AE16" s="11">
        <f>Baseline!P68</f>
        <v>0</v>
      </c>
      <c r="AF16" s="10">
        <f>Baseline!P62</f>
        <v>0</v>
      </c>
      <c r="AG16" s="16">
        <f>Model!O51</f>
        <v>2.3810165782880293</v>
      </c>
      <c r="AH16" s="16">
        <f>Model!O52</f>
        <v>602.38504104163292</v>
      </c>
      <c r="AI16" s="16">
        <f>Model!O57</f>
        <v>0.12426978914583965</v>
      </c>
      <c r="AJ16" s="17">
        <f>Model!O7</f>
        <v>0</v>
      </c>
      <c r="AK16" s="18" t="e">
        <f>IF(Model!$C$27&gt;0,Baseline!P27/Model!$C$27*100,100)</f>
        <v>#REF!</v>
      </c>
      <c r="AL16" s="18">
        <f>IF(Model!$C$27&gt;0,Baseline!P33/Model!$C$27*100,100)</f>
        <v>0</v>
      </c>
      <c r="AM16" s="19" t="e">
        <f>Baseline!P14</f>
        <v>#REF!</v>
      </c>
      <c r="AN16" s="19">
        <f>Baseline!P43</f>
        <v>0</v>
      </c>
      <c r="AO16" s="20">
        <f>Baseline!P62</f>
        <v>0</v>
      </c>
      <c r="AP16" s="19" t="e">
        <f>Baseline!P15</f>
        <v>#REF!</v>
      </c>
      <c r="AQ16" s="19">
        <f>Baseline!P20</f>
        <v>42.398399999999995</v>
      </c>
      <c r="AR16" s="19" t="e">
        <f>Baseline!P24</f>
        <v>#REF!</v>
      </c>
      <c r="AS16" s="18">
        <f>IF(Baseline!P22&gt;0,Baseline!P27/Baseline!P22,0)</f>
        <v>0</v>
      </c>
      <c r="AT16" s="19">
        <f>Baseline!P18</f>
        <v>22</v>
      </c>
      <c r="AU16" s="19">
        <f>Baseline!P43</f>
        <v>0</v>
      </c>
      <c r="AV16" s="21">
        <f t="shared" si="0"/>
        <v>30</v>
      </c>
      <c r="AW16" s="21">
        <f t="shared" si="0"/>
        <v>30</v>
      </c>
    </row>
    <row r="17" spans="1:49" ht="15" customHeight="1">
      <c r="A17" s="9" t="s">
        <v>546</v>
      </c>
      <c r="B17" s="24">
        <f>Model!P14</f>
        <v>19.068269243252839</v>
      </c>
      <c r="C17" s="24">
        <f>Model!P18</f>
        <v>22</v>
      </c>
      <c r="D17" s="24">
        <f>VRE_Start*(1-VRE_Dep)^13</f>
        <v>30</v>
      </c>
      <c r="E17" s="24">
        <f>Model!P43</f>
        <v>16.017271461539039</v>
      </c>
      <c r="F17" s="24">
        <f>Model!P45</f>
        <v>0</v>
      </c>
      <c r="G17" s="24" t="e">
        <f>Model!#REF!</f>
        <v>#REF!</v>
      </c>
      <c r="H17" s="24">
        <f>Model!P67</f>
        <v>0</v>
      </c>
      <c r="I17" s="12">
        <f>Model!P27</f>
        <v>92.091815505422062</v>
      </c>
      <c r="J17" s="13">
        <f>Model!P32</f>
        <v>221.67487470075122</v>
      </c>
      <c r="K17" s="12">
        <f>Model!P29</f>
        <v>86.439645831329841</v>
      </c>
      <c r="L17" s="13">
        <f>Model!P22</f>
        <v>80.303330381926656</v>
      </c>
      <c r="M17" s="14">
        <f>Model!P61</f>
        <v>-1.0476960093232353</v>
      </c>
      <c r="N17" s="26">
        <f>Model!P60</f>
        <v>-279.3913056744077</v>
      </c>
      <c r="O17" s="10">
        <f>Model!P58</f>
        <v>-240.50494432744648</v>
      </c>
      <c r="P17" s="10">
        <f>Model!P59</f>
        <v>-37</v>
      </c>
      <c r="Q17" s="10">
        <f>Model!P63</f>
        <v>0</v>
      </c>
      <c r="R17" s="15">
        <f>Model!P34</f>
        <v>0.70424032000000003</v>
      </c>
      <c r="S17" s="10">
        <f>Model!P39</f>
        <v>2.7709709878958719</v>
      </c>
      <c r="T17" s="10">
        <f>Model!P23</f>
        <v>75.929789587133627</v>
      </c>
      <c r="U17" s="10">
        <f>Model!P26</f>
        <v>-5.9449534691503345</v>
      </c>
      <c r="V17" s="10">
        <f>Model!P47</f>
        <v>633.96096678518097</v>
      </c>
      <c r="W17" s="12">
        <f>Model!P48</f>
        <v>88.492601789658366</v>
      </c>
      <c r="X17" s="12">
        <f>Model!P30</f>
        <v>-2.7709709878958719</v>
      </c>
      <c r="Y17" s="12" t="e">
        <f>Baseline!Q27</f>
        <v>#REF!</v>
      </c>
      <c r="Z17" s="22">
        <f>Model!P39</f>
        <v>2.7709709878958719</v>
      </c>
      <c r="AA17" s="24" t="e">
        <f>Baseline!Q14</f>
        <v>#REF!</v>
      </c>
      <c r="AB17" s="11">
        <f>Baseline!Q18</f>
        <v>22</v>
      </c>
      <c r="AC17" s="11">
        <f>Baseline!Q43</f>
        <v>0</v>
      </c>
      <c r="AD17" s="11" t="e">
        <f>Baseline!Q23</f>
        <v>#REF!</v>
      </c>
      <c r="AE17" s="11">
        <f>Baseline!Q68</f>
        <v>0</v>
      </c>
      <c r="AF17" s="10">
        <f>Baseline!Q62</f>
        <v>0</v>
      </c>
      <c r="AG17" s="16">
        <f>Model!P51</f>
        <v>2.6766039402555837</v>
      </c>
      <c r="AH17" s="16">
        <f>Model!P52</f>
        <v>677.16713487242782</v>
      </c>
      <c r="AI17" s="16">
        <f>Model!P57</f>
        <v>0.18315512140677148</v>
      </c>
      <c r="AJ17" s="17">
        <f>Model!P7</f>
        <v>0</v>
      </c>
      <c r="AK17" s="18" t="e">
        <f>IF(Model!$C$27&gt;0,Baseline!Q27/Model!$C$27*100,100)</f>
        <v>#REF!</v>
      </c>
      <c r="AL17" s="18">
        <f>IF(Model!$C$27&gt;0,Baseline!Q33/Model!$C$27*100,100)</f>
        <v>0</v>
      </c>
      <c r="AM17" s="19" t="e">
        <f>Baseline!Q14</f>
        <v>#REF!</v>
      </c>
      <c r="AN17" s="19">
        <f>Baseline!Q43</f>
        <v>0</v>
      </c>
      <c r="AO17" s="20">
        <f>Baseline!Q62</f>
        <v>0</v>
      </c>
      <c r="AP17" s="19" t="e">
        <f>Baseline!Q15</f>
        <v>#REF!</v>
      </c>
      <c r="AQ17" s="19">
        <f>Baseline!Q20</f>
        <v>42.398399999999995</v>
      </c>
      <c r="AR17" s="19" t="e">
        <f>Baseline!Q24</f>
        <v>#REF!</v>
      </c>
      <c r="AS17" s="18">
        <f>IF(Baseline!Q22&gt;0,Baseline!Q27/Baseline!Q22,0)</f>
        <v>0</v>
      </c>
      <c r="AT17" s="19">
        <f>Baseline!Q18</f>
        <v>22</v>
      </c>
      <c r="AU17" s="19">
        <f>Baseline!Q43</f>
        <v>0</v>
      </c>
      <c r="AV17" s="21">
        <f t="shared" si="0"/>
        <v>30</v>
      </c>
      <c r="AW17" s="21">
        <f t="shared" si="0"/>
        <v>30</v>
      </c>
    </row>
    <row r="18" spans="1:49" ht="15" customHeight="1">
      <c r="A18" s="9" t="s">
        <v>503</v>
      </c>
      <c r="B18" s="24">
        <f>Model!Q14</f>
        <v>18.233307920790516</v>
      </c>
      <c r="C18" s="24">
        <f>Model!Q18</f>
        <v>22</v>
      </c>
      <c r="D18" s="24">
        <f>VRE_Start*(1-VRE_Dep)^14</f>
        <v>30</v>
      </c>
      <c r="E18" s="24">
        <f>Model!Q43</f>
        <v>18.611166872290482</v>
      </c>
      <c r="F18" s="24">
        <f>Model!Q45</f>
        <v>0</v>
      </c>
      <c r="G18" s="24" t="e">
        <f>Model!#REF!</f>
        <v>#REF!</v>
      </c>
      <c r="H18" s="24">
        <f>Model!Q67</f>
        <v>0</v>
      </c>
      <c r="I18" s="12">
        <f>Model!Q27</f>
        <v>90.036034064367229</v>
      </c>
      <c r="J18" s="13">
        <f>Model!Q32</f>
        <v>226.55416178879756</v>
      </c>
      <c r="K18" s="12">
        <f>Model!Q29</f>
        <v>85.136209116944144</v>
      </c>
      <c r="L18" s="13">
        <f>Model!Q22</f>
        <v>79.871236283269866</v>
      </c>
      <c r="M18" s="14">
        <f>Model!Q61</f>
        <v>-1.3606317672373778</v>
      </c>
      <c r="N18" s="26">
        <f>Model!Q60</f>
        <v>-312.93575791414258</v>
      </c>
      <c r="O18" s="10">
        <f>Model!Q58</f>
        <v>-272.47784576693152</v>
      </c>
      <c r="P18" s="10">
        <f>Model!Q59</f>
        <v>-37</v>
      </c>
      <c r="Q18" s="10">
        <f>Model!Q63</f>
        <v>0</v>
      </c>
      <c r="R18" s="15">
        <f>Model!Q34</f>
        <v>0.72888695999999997</v>
      </c>
      <c r="S18" s="10">
        <f>Model!Q39</f>
        <v>3.121878780862545</v>
      </c>
      <c r="T18" s="10">
        <f>Model!Q23</f>
        <v>79.83992820630364</v>
      </c>
      <c r="U18" s="10">
        <f>Model!Q26</f>
        <v>-6.9511030726834804</v>
      </c>
      <c r="V18" s="10">
        <f>Model!Q47</f>
        <v>766.77097103636584</v>
      </c>
      <c r="W18" s="12">
        <f>Model!Q48</f>
        <v>87.860836144153097</v>
      </c>
      <c r="X18" s="12">
        <f>Model!Q30</f>
        <v>-3.121878780862545</v>
      </c>
      <c r="Y18" s="12" t="e">
        <f>Baseline!R27</f>
        <v>#REF!</v>
      </c>
      <c r="Z18" s="22">
        <f>Model!Q39</f>
        <v>3.121878780862545</v>
      </c>
      <c r="AA18" s="24" t="e">
        <f>Baseline!R14</f>
        <v>#REF!</v>
      </c>
      <c r="AB18" s="11">
        <f>Baseline!R18</f>
        <v>22</v>
      </c>
      <c r="AC18" s="11">
        <f>Baseline!R43</f>
        <v>0</v>
      </c>
      <c r="AD18" s="11" t="e">
        <f>Baseline!R23</f>
        <v>#REF!</v>
      </c>
      <c r="AE18" s="11">
        <f>Baseline!R68</f>
        <v>0</v>
      </c>
      <c r="AF18" s="10">
        <f>Baseline!R62</f>
        <v>0</v>
      </c>
      <c r="AG18" s="16">
        <f>Model!Q51</f>
        <v>3.6559030960304737</v>
      </c>
      <c r="AH18" s="16">
        <f>Model!Q52</f>
        <v>924.92482271164795</v>
      </c>
      <c r="AI18" s="16">
        <f>Model!Q57</f>
        <v>0.20589261078889107</v>
      </c>
      <c r="AJ18" s="17">
        <f>Model!Q7</f>
        <v>0</v>
      </c>
      <c r="AK18" s="18" t="e">
        <f>IF(Model!$C$27&gt;0,Baseline!R27/Model!$C$27*100,100)</f>
        <v>#REF!</v>
      </c>
      <c r="AL18" s="18">
        <f>IF(Model!$C$27&gt;0,Baseline!R33/Model!$C$27*100,100)</f>
        <v>0</v>
      </c>
      <c r="AM18" s="19" t="e">
        <f>Baseline!R14</f>
        <v>#REF!</v>
      </c>
      <c r="AN18" s="19">
        <f>Baseline!R43</f>
        <v>0</v>
      </c>
      <c r="AO18" s="20">
        <f>Baseline!R62</f>
        <v>0</v>
      </c>
      <c r="AP18" s="19" t="e">
        <f>Baseline!R15</f>
        <v>#REF!</v>
      </c>
      <c r="AQ18" s="19">
        <f>Baseline!R20</f>
        <v>42.398399999999995</v>
      </c>
      <c r="AR18" s="19" t="e">
        <f>Baseline!R24</f>
        <v>#REF!</v>
      </c>
      <c r="AS18" s="18">
        <f>IF(Baseline!R22&gt;0,Baseline!R27/Baseline!R22,0)</f>
        <v>0</v>
      </c>
      <c r="AT18" s="19">
        <f>Baseline!R18</f>
        <v>22</v>
      </c>
      <c r="AU18" s="19">
        <f>Baseline!R43</f>
        <v>0</v>
      </c>
      <c r="AV18" s="21">
        <f t="shared" si="0"/>
        <v>30</v>
      </c>
      <c r="AW18" s="21">
        <f t="shared" si="0"/>
        <v>30</v>
      </c>
    </row>
    <row r="19" spans="1:49" ht="15" customHeight="1">
      <c r="A19" s="9" t="s">
        <v>547</v>
      </c>
      <c r="B19" s="24">
        <f>Model!R14</f>
        <v>17.321378286586771</v>
      </c>
      <c r="C19" s="24">
        <f>Model!R18</f>
        <v>22</v>
      </c>
      <c r="D19" s="24">
        <f>VRE_Start*(1-VRE_Dep)^15</f>
        <v>30</v>
      </c>
      <c r="E19" s="24">
        <f>Model!R43</f>
        <v>22.492240669101783</v>
      </c>
      <c r="F19" s="24">
        <f>Model!R45</f>
        <v>0</v>
      </c>
      <c r="G19" s="24" t="e">
        <f>Model!#REF!</f>
        <v>#REF!</v>
      </c>
      <c r="H19" s="24">
        <f>Model!R67</f>
        <v>0</v>
      </c>
      <c r="I19" s="12">
        <f>Model!R27</f>
        <v>91.113839529134481</v>
      </c>
      <c r="J19" s="13">
        <f>Model!R32</f>
        <v>218.1836564784123</v>
      </c>
      <c r="K19" s="12">
        <f>Model!R29</f>
        <v>85.533423326802819</v>
      </c>
      <c r="L19" s="13">
        <f>Model!R22</f>
        <v>79.476180162069113</v>
      </c>
      <c r="M19" s="14">
        <f>Model!R61</f>
        <v>-1.7718427425737766</v>
      </c>
      <c r="N19" s="26">
        <f>Model!R60</f>
        <v>-411.21097533639892</v>
      </c>
      <c r="O19" s="10">
        <f>Model!R58</f>
        <v>-371.2896512501701</v>
      </c>
      <c r="P19" s="10">
        <f>Model!R59</f>
        <v>-37</v>
      </c>
      <c r="Q19" s="10">
        <f>Model!R63</f>
        <v>0</v>
      </c>
      <c r="R19" s="15">
        <f>Model!R34</f>
        <v>0.75353359999999991</v>
      </c>
      <c r="S19" s="10">
        <f>Model!R39</f>
        <v>2.6631625278721529</v>
      </c>
      <c r="T19" s="10">
        <f>Model!R23</f>
        <v>85.235312794298366</v>
      </c>
      <c r="U19" s="10">
        <f>Model!R26</f>
        <v>-5.3319144828457183</v>
      </c>
      <c r="V19" s="10">
        <f>Model!R47</f>
        <v>927.95854649633543</v>
      </c>
      <c r="W19" s="12">
        <f>Model!R48</f>
        <v>87.422971936230113</v>
      </c>
      <c r="X19" s="12">
        <f>Model!R30</f>
        <v>-2.6631625278721529</v>
      </c>
      <c r="Y19" s="12" t="e">
        <f>Baseline!S27</f>
        <v>#REF!</v>
      </c>
      <c r="Z19" s="22">
        <f>Model!R39</f>
        <v>2.6631625278721529</v>
      </c>
      <c r="AA19" s="24" t="e">
        <f>Baseline!S14</f>
        <v>#REF!</v>
      </c>
      <c r="AB19" s="11">
        <f>Baseline!S18</f>
        <v>22</v>
      </c>
      <c r="AC19" s="11">
        <f>Baseline!S43</f>
        <v>0</v>
      </c>
      <c r="AD19" s="11" t="e">
        <f>Baseline!S23</f>
        <v>#REF!</v>
      </c>
      <c r="AE19" s="11">
        <f>Baseline!S68</f>
        <v>0</v>
      </c>
      <c r="AF19" s="10">
        <f>Baseline!S62</f>
        <v>0</v>
      </c>
      <c r="AG19" s="16">
        <f>Model!R51</f>
        <v>4.1441174200195228</v>
      </c>
      <c r="AH19" s="16">
        <f>Model!R52</f>
        <v>1048.4405547208353</v>
      </c>
      <c r="AI19" s="16">
        <f>Model!R57</f>
        <v>0.28122331507926723</v>
      </c>
      <c r="AJ19" s="17">
        <f>Model!R7</f>
        <v>0</v>
      </c>
      <c r="AK19" s="18" t="e">
        <f>IF(Model!$C$27&gt;0,Baseline!S27/Model!$C$27*100,100)</f>
        <v>#REF!</v>
      </c>
      <c r="AL19" s="18">
        <f>IF(Model!$C$27&gt;0,Baseline!S33/Model!$C$27*100,100)</f>
        <v>0</v>
      </c>
      <c r="AM19" s="19" t="e">
        <f>Baseline!S14</f>
        <v>#REF!</v>
      </c>
      <c r="AN19" s="19">
        <f>Baseline!S43</f>
        <v>0</v>
      </c>
      <c r="AO19" s="20">
        <f>Baseline!S62</f>
        <v>0</v>
      </c>
      <c r="AP19" s="19" t="e">
        <f>Baseline!S15</f>
        <v>#REF!</v>
      </c>
      <c r="AQ19" s="19">
        <f>Baseline!S20</f>
        <v>42.398399999999995</v>
      </c>
      <c r="AR19" s="19" t="e">
        <f>Baseline!S24</f>
        <v>#REF!</v>
      </c>
      <c r="AS19" s="18">
        <f>IF(Baseline!S22&gt;0,Baseline!S27/Baseline!S22,0)</f>
        <v>0</v>
      </c>
      <c r="AT19" s="19">
        <f>Baseline!S18</f>
        <v>22</v>
      </c>
      <c r="AU19" s="19">
        <f>Baseline!S43</f>
        <v>0</v>
      </c>
      <c r="AV19" s="21">
        <f t="shared" si="0"/>
        <v>30</v>
      </c>
      <c r="AW19" s="21">
        <f t="shared" si="0"/>
        <v>30</v>
      </c>
    </row>
    <row r="20" spans="1:49" ht="15" customHeight="1">
      <c r="A20" s="9" t="s">
        <v>548</v>
      </c>
      <c r="B20" s="24">
        <f>Model!S14</f>
        <v>16.410630760284249</v>
      </c>
      <c r="C20" s="24">
        <f>Model!S18</f>
        <v>22</v>
      </c>
      <c r="D20" s="24">
        <f>VRE_Start*(1-VRE_Dep)^16</f>
        <v>30</v>
      </c>
      <c r="E20" s="24">
        <f>Model!S43</f>
        <v>25.840514902545067</v>
      </c>
      <c r="F20" s="24">
        <f>Model!S45</f>
        <v>0</v>
      </c>
      <c r="G20" s="24" t="e">
        <f>Model!#REF!</f>
        <v>#REF!</v>
      </c>
      <c r="H20" s="24">
        <f>Model!S67</f>
        <v>0</v>
      </c>
      <c r="I20" s="12">
        <f>Model!S27</f>
        <v>87.635966364512853</v>
      </c>
      <c r="J20" s="13">
        <f>Model!S32</f>
        <v>228.14572777609317</v>
      </c>
      <c r="K20" s="12">
        <f>Model!S29</f>
        <v>83.507109683116539</v>
      </c>
      <c r="L20" s="13">
        <f>Model!S22</f>
        <v>79.116979309846897</v>
      </c>
      <c r="M20" s="14">
        <f>Model!S61</f>
        <v>-2.2415700093481266</v>
      </c>
      <c r="N20" s="26">
        <f>Model!S60</f>
        <v>-469.72726677435003</v>
      </c>
      <c r="O20" s="10">
        <f>Model!S58</f>
        <v>-425.96480992561948</v>
      </c>
      <c r="P20" s="10">
        <f>Model!S59</f>
        <v>-37</v>
      </c>
      <c r="Q20" s="10">
        <f>Model!S63</f>
        <v>0</v>
      </c>
      <c r="R20" s="15">
        <f>Model!S34</f>
        <v>0.77818023999999997</v>
      </c>
      <c r="S20" s="10">
        <f>Model!S39</f>
        <v>3.3468508857251251</v>
      </c>
      <c r="T20" s="10">
        <f>Model!S23</f>
        <v>89.681119621059054</v>
      </c>
      <c r="U20" s="10">
        <f>Model!S26</f>
        <v>-5.8165688855522149</v>
      </c>
      <c r="V20" s="10">
        <f>Model!S47</f>
        <v>1124.0107076434119</v>
      </c>
      <c r="W20" s="12">
        <f>Model!S48</f>
        <v>87.10336202040763</v>
      </c>
      <c r="X20" s="12">
        <f>Model!S30</f>
        <v>-3.3468508857251251</v>
      </c>
      <c r="Y20" s="12" t="e">
        <f>Baseline!T27</f>
        <v>#REF!</v>
      </c>
      <c r="Z20" s="22">
        <f>Model!S39</f>
        <v>3.3468508857251251</v>
      </c>
      <c r="AA20" s="24" t="e">
        <f>Baseline!T14</f>
        <v>#REF!</v>
      </c>
      <c r="AB20" s="11">
        <f>Baseline!T18</f>
        <v>22</v>
      </c>
      <c r="AC20" s="11">
        <f>Baseline!T43</f>
        <v>0</v>
      </c>
      <c r="AD20" s="11" t="e">
        <f>Baseline!T23</f>
        <v>#REF!</v>
      </c>
      <c r="AE20" s="11">
        <f>Baseline!T68</f>
        <v>0</v>
      </c>
      <c r="AF20" s="10">
        <f>Baseline!T62</f>
        <v>0</v>
      </c>
      <c r="AG20" s="16">
        <f>Model!S51</f>
        <v>4.5600465809784954</v>
      </c>
      <c r="AH20" s="16">
        <f>Model!S52</f>
        <v>1153.6685094437839</v>
      </c>
      <c r="AI20" s="16">
        <f>Model!S57</f>
        <v>0.31877826307842483</v>
      </c>
      <c r="AJ20" s="17">
        <f>Model!S7</f>
        <v>0</v>
      </c>
      <c r="AK20" s="18" t="e">
        <f>IF(Model!$C$27&gt;0,Baseline!T27/Model!$C$27*100,100)</f>
        <v>#REF!</v>
      </c>
      <c r="AL20" s="18">
        <f>IF(Model!$C$27&gt;0,Baseline!T33/Model!$C$27*100,100)</f>
        <v>0</v>
      </c>
      <c r="AM20" s="19" t="e">
        <f>Baseline!T14</f>
        <v>#REF!</v>
      </c>
      <c r="AN20" s="19">
        <f>Baseline!T43</f>
        <v>0</v>
      </c>
      <c r="AO20" s="20">
        <f>Baseline!T62</f>
        <v>0</v>
      </c>
      <c r="AP20" s="19" t="e">
        <f>Baseline!T15</f>
        <v>#REF!</v>
      </c>
      <c r="AQ20" s="19">
        <f>Baseline!T20</f>
        <v>42.398399999999995</v>
      </c>
      <c r="AR20" s="19" t="e">
        <f>Baseline!T24</f>
        <v>#REF!</v>
      </c>
      <c r="AS20" s="18">
        <f>IF(Baseline!T22&gt;0,Baseline!T27/Baseline!T22,0)</f>
        <v>0</v>
      </c>
      <c r="AT20" s="19">
        <f>Baseline!T18</f>
        <v>22</v>
      </c>
      <c r="AU20" s="19">
        <f>Baseline!T43</f>
        <v>0</v>
      </c>
      <c r="AV20" s="21">
        <f t="shared" si="0"/>
        <v>30</v>
      </c>
      <c r="AW20" s="21">
        <f t="shared" si="0"/>
        <v>30</v>
      </c>
    </row>
    <row r="21" spans="1:49" ht="15" customHeight="1">
      <c r="A21" s="9" t="s">
        <v>549</v>
      </c>
      <c r="B21" s="24">
        <f>Model!T14</f>
        <v>15.429501983019318</v>
      </c>
      <c r="C21" s="24">
        <f>Model!T18</f>
        <v>22</v>
      </c>
      <c r="D21" s="24">
        <f>VRE_Start*(1-VRE_Dep)^17</f>
        <v>30</v>
      </c>
      <c r="E21" s="24">
        <f>Model!T43</f>
        <v>29.704057710284772</v>
      </c>
      <c r="F21" s="24">
        <f>Model!T45</f>
        <v>0</v>
      </c>
      <c r="G21" s="24" t="e">
        <f>Model!#REF!</f>
        <v>#REF!</v>
      </c>
      <c r="H21" s="24">
        <f>Model!T67</f>
        <v>0</v>
      </c>
      <c r="I21" s="12">
        <f>Model!T27</f>
        <v>88.121251647077443</v>
      </c>
      <c r="J21" s="13">
        <f>Model!T32</f>
        <v>222.69977168916282</v>
      </c>
      <c r="K21" s="12">
        <f>Model!T29</f>
        <v>83.725818335051187</v>
      </c>
      <c r="L21" s="13">
        <f>Model!T22</f>
        <v>79.033770079112514</v>
      </c>
      <c r="M21" s="14">
        <f>Model!T61</f>
        <v>-2.7534676090527959</v>
      </c>
      <c r="N21" s="26">
        <f>Model!T60</f>
        <v>-511.89759970466946</v>
      </c>
      <c r="O21" s="10">
        <f>Model!T58</f>
        <v>-468.11242589367924</v>
      </c>
      <c r="P21" s="10">
        <f>Model!T59</f>
        <v>-37</v>
      </c>
      <c r="Q21" s="10">
        <f>Model!T63</f>
        <v>0</v>
      </c>
      <c r="R21" s="15">
        <f>Model!T34</f>
        <v>0.80282688000000002</v>
      </c>
      <c r="S21" s="10">
        <f>Model!T39</f>
        <v>3.0658234401973985</v>
      </c>
      <c r="T21" s="10">
        <f>Model!T23</f>
        <v>94.717674492783431</v>
      </c>
      <c r="U21" s="10">
        <f>Model!T26</f>
        <v>-5.1116930552038298</v>
      </c>
      <c r="V21" s="10">
        <f>Model!T47</f>
        <v>1257.5456973374298</v>
      </c>
      <c r="W21" s="12">
        <f>Model!T48</f>
        <v>86.693888114258968</v>
      </c>
      <c r="X21" s="12">
        <f>Model!T30</f>
        <v>-3.0658234401973985</v>
      </c>
      <c r="Y21" s="12" t="e">
        <f>Baseline!U27</f>
        <v>#REF!</v>
      </c>
      <c r="Z21" s="22">
        <f>Model!T39</f>
        <v>3.0658234401973985</v>
      </c>
      <c r="AA21" s="24" t="e">
        <f>Baseline!U14</f>
        <v>#REF!</v>
      </c>
      <c r="AB21" s="11">
        <f>Baseline!U18</f>
        <v>22</v>
      </c>
      <c r="AC21" s="11">
        <f>Baseline!U43</f>
        <v>0</v>
      </c>
      <c r="AD21" s="11" t="e">
        <f>Baseline!U23</f>
        <v>#REF!</v>
      </c>
      <c r="AE21" s="11">
        <f>Baseline!U68</f>
        <v>0</v>
      </c>
      <c r="AF21" s="10">
        <f>Baseline!U62</f>
        <v>0</v>
      </c>
      <c r="AG21" s="16">
        <f>Model!T51</f>
        <v>5.6652341130382213</v>
      </c>
      <c r="AH21" s="16">
        <f>Model!T52</f>
        <v>1433.2753139193655</v>
      </c>
      <c r="AI21" s="16">
        <f>Model!T57</f>
        <v>0.35077281392142273</v>
      </c>
      <c r="AJ21" s="17">
        <f>Model!T7</f>
        <v>0</v>
      </c>
      <c r="AK21" s="18" t="e">
        <f>IF(Model!$C$27&gt;0,Baseline!U27/Model!$C$27*100,100)</f>
        <v>#REF!</v>
      </c>
      <c r="AL21" s="18">
        <f>IF(Model!$C$27&gt;0,Baseline!U33/Model!$C$27*100,100)</f>
        <v>0</v>
      </c>
      <c r="AM21" s="19" t="e">
        <f>Baseline!U14</f>
        <v>#REF!</v>
      </c>
      <c r="AN21" s="19">
        <f>Baseline!U43</f>
        <v>0</v>
      </c>
      <c r="AO21" s="20">
        <f>Baseline!U62</f>
        <v>0</v>
      </c>
      <c r="AP21" s="19" t="e">
        <f>Baseline!U15</f>
        <v>#REF!</v>
      </c>
      <c r="AQ21" s="19">
        <f>Baseline!U20</f>
        <v>42.398399999999995</v>
      </c>
      <c r="AR21" s="19" t="e">
        <f>Baseline!U24</f>
        <v>#REF!</v>
      </c>
      <c r="AS21" s="18">
        <f>IF(Baseline!U22&gt;0,Baseline!U27/Baseline!U22,0)</f>
        <v>0</v>
      </c>
      <c r="AT21" s="19">
        <f>Baseline!U18</f>
        <v>22</v>
      </c>
      <c r="AU21" s="19">
        <f>Baseline!U43</f>
        <v>0</v>
      </c>
      <c r="AV21" s="21">
        <f t="shared" si="0"/>
        <v>30</v>
      </c>
      <c r="AW21" s="21">
        <f t="shared" si="0"/>
        <v>30</v>
      </c>
    </row>
    <row r="22" spans="1:49" ht="15" customHeight="1">
      <c r="A22" s="9" t="s">
        <v>550</v>
      </c>
      <c r="B22" s="24">
        <f>Model!U14</f>
        <v>14.462570491575605</v>
      </c>
      <c r="C22" s="24">
        <f>Model!U18</f>
        <v>22</v>
      </c>
      <c r="D22" s="24">
        <f>VRE_Start*(1-VRE_Dep)^18</f>
        <v>30</v>
      </c>
      <c r="E22" s="24">
        <f>Model!U43</f>
        <v>34.58431179033041</v>
      </c>
      <c r="F22" s="24">
        <f>Model!U45</f>
        <v>0</v>
      </c>
      <c r="G22" s="24" t="e">
        <f>Model!#REF!</f>
        <v>#REF!</v>
      </c>
      <c r="H22" s="24">
        <f>Model!U67</f>
        <v>0</v>
      </c>
      <c r="I22" s="12">
        <f>Model!U27</f>
        <v>86.5808348605009</v>
      </c>
      <c r="J22" s="13">
        <f>Model!U32</f>
        <v>219.28991796455932</v>
      </c>
      <c r="K22" s="12">
        <f>Model!U29</f>
        <v>82.83184382853122</v>
      </c>
      <c r="L22" s="13">
        <f>Model!U22</f>
        <v>78.866960606486174</v>
      </c>
      <c r="M22" s="14">
        <f>Model!U61</f>
        <v>-3.3848825158756952</v>
      </c>
      <c r="N22" s="26">
        <f>Model!U60</f>
        <v>-631.41490682289918</v>
      </c>
      <c r="O22" s="10">
        <f>Model!U58</f>
        <v>-584.63712644934299</v>
      </c>
      <c r="P22" s="10">
        <f>Model!U59</f>
        <v>-37</v>
      </c>
      <c r="Q22" s="10">
        <f>Model!U63</f>
        <v>0</v>
      </c>
      <c r="R22" s="15">
        <f>Model!U34</f>
        <v>0.82747351999999996</v>
      </c>
      <c r="S22" s="10">
        <f>Model!U39</f>
        <v>2.9004669204540861</v>
      </c>
      <c r="T22" s="10">
        <f>Model!U23</f>
        <v>100.58914937834034</v>
      </c>
      <c r="U22" s="10">
        <f>Model!U26</f>
        <v>-3.2176950562895286</v>
      </c>
      <c r="V22" s="10">
        <f>Model!U47</f>
        <v>1496.291433357839</v>
      </c>
      <c r="W22" s="12">
        <f>Model!U48</f>
        <v>86.636834911817189</v>
      </c>
      <c r="X22" s="12">
        <f>Model!U30</f>
        <v>-2.9004669204540861</v>
      </c>
      <c r="Y22" s="12" t="e">
        <f>Baseline!V27</f>
        <v>#REF!</v>
      </c>
      <c r="Z22" s="22">
        <f>Model!U39</f>
        <v>2.9004669204540861</v>
      </c>
      <c r="AA22" s="24" t="e">
        <f>Baseline!V14</f>
        <v>#REF!</v>
      </c>
      <c r="AB22" s="11">
        <f>Baseline!V18</f>
        <v>22</v>
      </c>
      <c r="AC22" s="11">
        <f>Baseline!V43</f>
        <v>0</v>
      </c>
      <c r="AD22" s="11" t="e">
        <f>Baseline!V23</f>
        <v>#REF!</v>
      </c>
      <c r="AE22" s="11">
        <f>Baseline!V68</f>
        <v>0</v>
      </c>
      <c r="AF22" s="10">
        <f>Baseline!V62</f>
        <v>0</v>
      </c>
      <c r="AG22" s="16">
        <f>Model!U51</f>
        <v>5.6546921556419898</v>
      </c>
      <c r="AH22" s="16">
        <f>Model!U52</f>
        <v>1430.6082525067338</v>
      </c>
      <c r="AI22" s="16">
        <f>Model!U57</f>
        <v>0.43578723946447862</v>
      </c>
      <c r="AJ22" s="17">
        <f>Model!U7</f>
        <v>0</v>
      </c>
      <c r="AK22" s="18" t="e">
        <f>IF(Model!$C$27&gt;0,Baseline!V27/Model!$C$27*100,100)</f>
        <v>#REF!</v>
      </c>
      <c r="AL22" s="18">
        <f>IF(Model!$C$27&gt;0,Baseline!V33/Model!$C$27*100,100)</f>
        <v>0</v>
      </c>
      <c r="AM22" s="19" t="e">
        <f>Baseline!V14</f>
        <v>#REF!</v>
      </c>
      <c r="AN22" s="19">
        <f>Baseline!V43</f>
        <v>0</v>
      </c>
      <c r="AO22" s="20">
        <f>Baseline!V62</f>
        <v>0</v>
      </c>
      <c r="AP22" s="19" t="e">
        <f>Baseline!V15</f>
        <v>#REF!</v>
      </c>
      <c r="AQ22" s="19">
        <f>Baseline!V20</f>
        <v>42.398399999999995</v>
      </c>
      <c r="AR22" s="19" t="e">
        <f>Baseline!V24</f>
        <v>#REF!</v>
      </c>
      <c r="AS22" s="18">
        <f>IF(Baseline!V22&gt;0,Baseline!V27/Baseline!V22,0)</f>
        <v>0</v>
      </c>
      <c r="AT22" s="19">
        <f>Baseline!V18</f>
        <v>22</v>
      </c>
      <c r="AU22" s="19">
        <f>Baseline!V43</f>
        <v>0</v>
      </c>
      <c r="AV22" s="21">
        <f t="shared" si="0"/>
        <v>30</v>
      </c>
      <c r="AW22" s="21">
        <f t="shared" si="0"/>
        <v>30</v>
      </c>
    </row>
    <row r="23" spans="1:49" ht="15" customHeight="1">
      <c r="A23" s="9" t="s">
        <v>504</v>
      </c>
      <c r="B23" s="24">
        <f>Model!V14</f>
        <v>13.487846575379162</v>
      </c>
      <c r="C23" s="24">
        <f>Model!V18</f>
        <v>22</v>
      </c>
      <c r="D23" s="24">
        <f>VRE_Start*(1-VRE_Dep)^19</f>
        <v>30</v>
      </c>
      <c r="E23" s="24">
        <f>Model!V43</f>
        <v>38.436360750542235</v>
      </c>
      <c r="F23" s="24">
        <f>Model!V45</f>
        <v>0</v>
      </c>
      <c r="G23" s="24" t="e">
        <f>Model!#REF!</f>
        <v>#REF!</v>
      </c>
      <c r="H23" s="24">
        <f>Model!V67</f>
        <v>0</v>
      </c>
      <c r="I23" s="12">
        <f>Model!V27</f>
        <v>83.424686020729425</v>
      </c>
      <c r="J23" s="13">
        <f>Model!V32</f>
        <v>230.09979876082335</v>
      </c>
      <c r="K23" s="12">
        <f>Model!V29</f>
        <v>81.141391621155989</v>
      </c>
      <c r="L23" s="13">
        <f>Model!V22</f>
        <v>78.778221667485937</v>
      </c>
      <c r="M23" s="14">
        <f>Model!V61</f>
        <v>-4.0272830504033292</v>
      </c>
      <c r="N23" s="26">
        <f>Model!V60</f>
        <v>-642.40053452763425</v>
      </c>
      <c r="O23" s="10">
        <f>Model!V58</f>
        <v>-589.34638228460449</v>
      </c>
      <c r="P23" s="10">
        <f>Model!V59</f>
        <v>-37</v>
      </c>
      <c r="Q23" s="10">
        <f>Model!V63</f>
        <v>0</v>
      </c>
      <c r="R23" s="15">
        <f>Model!V34</f>
        <v>0.8521201599999999</v>
      </c>
      <c r="S23" s="10">
        <f>Model!V39</f>
        <v>3.6794995191684094</v>
      </c>
      <c r="T23" s="10">
        <f>Model!V23</f>
        <v>105.03199082696966</v>
      </c>
      <c r="U23" s="10">
        <f>Model!V26</f>
        <v>-3.9896460919389938</v>
      </c>
      <c r="V23" s="10">
        <f>Model!V47</f>
        <v>1666.4860037160263</v>
      </c>
      <c r="W23" s="12">
        <f>Model!V48</f>
        <v>86.388528887009485</v>
      </c>
      <c r="X23" s="12">
        <f>Model!V30</f>
        <v>-3.6794995191684094</v>
      </c>
      <c r="Y23" s="12" t="e">
        <f>Baseline!W27</f>
        <v>#REF!</v>
      </c>
      <c r="Z23" s="22">
        <f>Model!V39</f>
        <v>3.6794995191684094</v>
      </c>
      <c r="AA23" s="24" t="e">
        <f>Baseline!W14</f>
        <v>#REF!</v>
      </c>
      <c r="AB23" s="11">
        <f>Baseline!W18</f>
        <v>22</v>
      </c>
      <c r="AC23" s="11">
        <f>Baseline!W43</f>
        <v>0</v>
      </c>
      <c r="AD23" s="11" t="e">
        <f>Baseline!W23</f>
        <v>#REF!</v>
      </c>
      <c r="AE23" s="11">
        <f>Baseline!W68</f>
        <v>0</v>
      </c>
      <c r="AF23" s="10">
        <f>Baseline!W62</f>
        <v>0</v>
      </c>
      <c r="AG23" s="16">
        <f>Model!V51</f>
        <v>6.5387965678853783</v>
      </c>
      <c r="AH23" s="16">
        <f>Model!V52</f>
        <v>1654.2821561287094</v>
      </c>
      <c r="AI23" s="16">
        <f>Model!V57</f>
        <v>0.43497631966476846</v>
      </c>
      <c r="AJ23" s="17">
        <f>Model!V7</f>
        <v>0</v>
      </c>
      <c r="AK23" s="18" t="e">
        <f>IF(Model!$C$27&gt;0,Baseline!W27/Model!$C$27*100,100)</f>
        <v>#REF!</v>
      </c>
      <c r="AL23" s="18">
        <f>IF(Model!$C$27&gt;0,Baseline!W33/Model!$C$27*100,100)</f>
        <v>0</v>
      </c>
      <c r="AM23" s="19" t="e">
        <f>Baseline!W14</f>
        <v>#REF!</v>
      </c>
      <c r="AN23" s="19">
        <f>Baseline!W43</f>
        <v>0</v>
      </c>
      <c r="AO23" s="20">
        <f>Baseline!W62</f>
        <v>0</v>
      </c>
      <c r="AP23" s="19" t="e">
        <f>Baseline!W15</f>
        <v>#REF!</v>
      </c>
      <c r="AQ23" s="19">
        <f>Baseline!W20</f>
        <v>42.398399999999995</v>
      </c>
      <c r="AR23" s="19" t="e">
        <f>Baseline!W24</f>
        <v>#REF!</v>
      </c>
      <c r="AS23" s="18">
        <f>IF(Baseline!W22&gt;0,Baseline!W27/Baseline!W22,0)</f>
        <v>0</v>
      </c>
      <c r="AT23" s="19">
        <f>Baseline!W18</f>
        <v>22</v>
      </c>
      <c r="AU23" s="19">
        <f>Baseline!W43</f>
        <v>0</v>
      </c>
      <c r="AV23" s="21">
        <f t="shared" si="0"/>
        <v>30</v>
      </c>
      <c r="AW23" s="21">
        <f t="shared" si="0"/>
        <v>30</v>
      </c>
    </row>
    <row r="24" spans="1:49" ht="15" customHeight="1">
      <c r="A24" s="9" t="s">
        <v>551</v>
      </c>
      <c r="B24" s="24">
        <f>Model!W14</f>
        <v>12.498094734783942</v>
      </c>
      <c r="C24" s="24">
        <f>Model!W18</f>
        <v>22</v>
      </c>
      <c r="D24" s="24">
        <f>VRE_Start*(1-VRE_Dep)^20</f>
        <v>30</v>
      </c>
      <c r="E24" s="24">
        <f>Model!W43</f>
        <v>44.260785614560021</v>
      </c>
      <c r="F24" s="24">
        <f>Model!W45</f>
        <v>0</v>
      </c>
      <c r="G24" s="24" t="e">
        <f>Model!#REF!</f>
        <v>#REF!</v>
      </c>
      <c r="H24" s="24">
        <f>Model!W67</f>
        <v>0</v>
      </c>
      <c r="I24" s="12">
        <f>Model!W27</f>
        <v>84.445250773612997</v>
      </c>
      <c r="J24" s="13">
        <f>Model!W32</f>
        <v>214.79181595933872</v>
      </c>
      <c r="K24" s="12">
        <f>Model!W29</f>
        <v>81.676197107394685</v>
      </c>
      <c r="L24" s="13">
        <f>Model!W22</f>
        <v>78.789538827448993</v>
      </c>
      <c r="M24" s="14">
        <f>Model!W61</f>
        <v>-4.7594775237324063</v>
      </c>
      <c r="N24" s="26">
        <f>Model!W60</f>
        <v>-732.19447332907669</v>
      </c>
      <c r="O24" s="10">
        <f>Model!W58</f>
        <v>-679.36920374293902</v>
      </c>
      <c r="P24" s="10">
        <f>Model!W59</f>
        <v>-37</v>
      </c>
      <c r="Q24" s="10">
        <f>Model!W63</f>
        <v>0</v>
      </c>
      <c r="R24" s="15">
        <f>Model!W34</f>
        <v>0.87676679999999996</v>
      </c>
      <c r="S24" s="10">
        <f>Model!W39</f>
        <v>2.7008778433246974</v>
      </c>
      <c r="T24" s="10">
        <f>Model!W23</f>
        <v>111.57808026097388</v>
      </c>
      <c r="U24" s="10">
        <f>Model!W26</f>
        <v>-0.6990944275174229</v>
      </c>
      <c r="V24" s="10">
        <f>Model!W47</f>
        <v>1870.2933134357149</v>
      </c>
      <c r="W24" s="12">
        <f>Model!W48</f>
        <v>86.306977491997472</v>
      </c>
      <c r="X24" s="12">
        <f>Model!W30</f>
        <v>-2.7008778433246974</v>
      </c>
      <c r="Y24" s="12" t="e">
        <f>Baseline!X27</f>
        <v>#REF!</v>
      </c>
      <c r="Z24" s="22">
        <f>Model!W39</f>
        <v>2.7008778433246974</v>
      </c>
      <c r="AA24" s="24" t="e">
        <f>Baseline!X14</f>
        <v>#REF!</v>
      </c>
      <c r="AB24" s="11">
        <f>Baseline!X18</f>
        <v>22</v>
      </c>
      <c r="AC24" s="11">
        <f>Baseline!X43</f>
        <v>0</v>
      </c>
      <c r="AD24" s="11" t="e">
        <f>Baseline!X23</f>
        <v>#REF!</v>
      </c>
      <c r="AE24" s="11">
        <f>Baseline!X68</f>
        <v>0</v>
      </c>
      <c r="AF24" s="10">
        <f>Baseline!X62</f>
        <v>0</v>
      </c>
      <c r="AG24" s="16">
        <f>Model!W51</f>
        <v>7.2251599001084763</v>
      </c>
      <c r="AH24" s="16">
        <f>Model!W52</f>
        <v>1827.9285758222509</v>
      </c>
      <c r="AI24" s="16">
        <f>Model!W57</f>
        <v>0.50298435137579833</v>
      </c>
      <c r="AJ24" s="17">
        <f>Model!W7</f>
        <v>0</v>
      </c>
      <c r="AK24" s="18" t="e">
        <f>IF(Model!$C$27&gt;0,Baseline!X27/Model!$C$27*100,100)</f>
        <v>#REF!</v>
      </c>
      <c r="AL24" s="18">
        <f>IF(Model!$C$27&gt;0,Baseline!X33/Model!$C$27*100,100)</f>
        <v>0</v>
      </c>
      <c r="AM24" s="19" t="e">
        <f>Baseline!X14</f>
        <v>#REF!</v>
      </c>
      <c r="AN24" s="19">
        <f>Baseline!X43</f>
        <v>0</v>
      </c>
      <c r="AO24" s="20">
        <f>Baseline!X62</f>
        <v>0</v>
      </c>
      <c r="AP24" s="19" t="e">
        <f>Baseline!X15</f>
        <v>#REF!</v>
      </c>
      <c r="AQ24" s="19">
        <f>Baseline!X20</f>
        <v>42.398399999999995</v>
      </c>
      <c r="AR24" s="19" t="e">
        <f>Baseline!X24</f>
        <v>#REF!</v>
      </c>
      <c r="AS24" s="18">
        <f>IF(Baseline!X22&gt;0,Baseline!X27/Baseline!X22,0)</f>
        <v>0</v>
      </c>
      <c r="AT24" s="19">
        <f>Baseline!X18</f>
        <v>22</v>
      </c>
      <c r="AU24" s="19">
        <f>Baseline!X43</f>
        <v>0</v>
      </c>
      <c r="AV24" s="21">
        <f t="shared" si="0"/>
        <v>30</v>
      </c>
      <c r="AW24" s="21">
        <f t="shared" si="0"/>
        <v>30</v>
      </c>
    </row>
    <row r="25" spans="1:49" ht="15" customHeight="1">
      <c r="A25" s="9" t="s">
        <v>552</v>
      </c>
      <c r="B25" s="24">
        <f>Model!X14</f>
        <v>11.556433778232812</v>
      </c>
      <c r="C25" s="24">
        <f>Model!X18</f>
        <v>22</v>
      </c>
      <c r="D25" s="24">
        <f>VRE_Start*(1-VRE_Dep)^21</f>
        <v>30</v>
      </c>
      <c r="E25" s="24">
        <f>Model!X43</f>
        <v>49.58240932463459</v>
      </c>
      <c r="F25" s="24">
        <f>Model!X45</f>
        <v>0</v>
      </c>
      <c r="G25" s="24" t="e">
        <f>Model!#REF!</f>
        <v>#REF!</v>
      </c>
      <c r="H25" s="24">
        <f>Model!X67</f>
        <v>0</v>
      </c>
      <c r="I25" s="12">
        <f>Model!X27</f>
        <v>79.596130739562383</v>
      </c>
      <c r="J25" s="13">
        <f>Model!X32</f>
        <v>224.14984015324399</v>
      </c>
      <c r="K25" s="12">
        <f>Model!X29</f>
        <v>79.128933443537392</v>
      </c>
      <c r="L25" s="13">
        <f>Model!X22</f>
        <v>78.658402247516719</v>
      </c>
      <c r="M25" s="14">
        <f>Model!X61</f>
        <v>-5.5866644203072191</v>
      </c>
      <c r="N25" s="26">
        <f>Model!X60</f>
        <v>-827.18689657481264</v>
      </c>
      <c r="O25" s="10">
        <f>Model!X58</f>
        <v>-761.84267259853607</v>
      </c>
      <c r="P25" s="10">
        <f>Model!X59</f>
        <v>-37</v>
      </c>
      <c r="Q25" s="10">
        <f>Model!X63</f>
        <v>0</v>
      </c>
      <c r="R25" s="15">
        <f>Model!X34</f>
        <v>0.90141344000000001</v>
      </c>
      <c r="S25" s="10">
        <f>Model!X39</f>
        <v>3.4197263617548188</v>
      </c>
      <c r="T25" s="10">
        <f>Model!X23</f>
        <v>117.01733677005362</v>
      </c>
      <c r="U25" s="10">
        <f>Model!X26</f>
        <v>-9.6816700330975891E-2</v>
      </c>
      <c r="V25" s="10">
        <f>Model!X47</f>
        <v>2152.7316099154514</v>
      </c>
      <c r="W25" s="12">
        <f>Model!X48</f>
        <v>86.512214785790022</v>
      </c>
      <c r="X25" s="12">
        <f>Model!X30</f>
        <v>-3.4197263617548188</v>
      </c>
      <c r="Y25" s="12" t="e">
        <f>Baseline!Y27</f>
        <v>#REF!</v>
      </c>
      <c r="Z25" s="22">
        <f>Model!X39</f>
        <v>3.4197263617548188</v>
      </c>
      <c r="AA25" s="24" t="e">
        <f>Baseline!Y14</f>
        <v>#REF!</v>
      </c>
      <c r="AB25" s="11">
        <f>Baseline!Y18</f>
        <v>22</v>
      </c>
      <c r="AC25" s="11">
        <f>Baseline!Y43</f>
        <v>0</v>
      </c>
      <c r="AD25" s="11" t="e">
        <f>Baseline!Y23</f>
        <v>#REF!</v>
      </c>
      <c r="AE25" s="11">
        <f>Baseline!Y68</f>
        <v>0</v>
      </c>
      <c r="AF25" s="10">
        <f>Baseline!Y62</f>
        <v>0</v>
      </c>
      <c r="AG25" s="16">
        <f>Model!X51</f>
        <v>7.0222130237832312</v>
      </c>
      <c r="AH25" s="16">
        <f>Model!X52</f>
        <v>1776.5840520002646</v>
      </c>
      <c r="AI25" s="16">
        <f>Model!X57</f>
        <v>0.55578153077757508</v>
      </c>
      <c r="AJ25" s="17">
        <f>Model!X7</f>
        <v>0</v>
      </c>
      <c r="AK25" s="18" t="e">
        <f>IF(Model!$C$27&gt;0,Baseline!Y27/Model!$C$27*100,100)</f>
        <v>#REF!</v>
      </c>
      <c r="AL25" s="18">
        <f>IF(Model!$C$27&gt;0,Baseline!Y33/Model!$C$27*100,100)</f>
        <v>0</v>
      </c>
      <c r="AM25" s="19" t="e">
        <f>Baseline!Y14</f>
        <v>#REF!</v>
      </c>
      <c r="AN25" s="19">
        <f>Baseline!Y43</f>
        <v>0</v>
      </c>
      <c r="AO25" s="20">
        <f>Baseline!Y62</f>
        <v>0</v>
      </c>
      <c r="AP25" s="19" t="e">
        <f>Baseline!Y15</f>
        <v>#REF!</v>
      </c>
      <c r="AQ25" s="19">
        <f>Baseline!Y20</f>
        <v>42.398399999999995</v>
      </c>
      <c r="AR25" s="19" t="e">
        <f>Baseline!Y24</f>
        <v>#REF!</v>
      </c>
      <c r="AS25" s="18">
        <f>IF(Baseline!Y22&gt;0,Baseline!Y27/Baseline!Y22,0)</f>
        <v>0</v>
      </c>
      <c r="AT25" s="19">
        <f>Baseline!Y18</f>
        <v>22</v>
      </c>
      <c r="AU25" s="19">
        <f>Baseline!Y43</f>
        <v>0</v>
      </c>
      <c r="AV25" s="21">
        <f t="shared" si="0"/>
        <v>30</v>
      </c>
      <c r="AW25" s="21">
        <f t="shared" si="0"/>
        <v>30</v>
      </c>
    </row>
    <row r="26" spans="1:49" ht="15" customHeight="1">
      <c r="A26" s="9" t="s">
        <v>553</v>
      </c>
      <c r="B26" s="24">
        <f>Model!Y14</f>
        <v>10.605732674706962</v>
      </c>
      <c r="C26" s="24">
        <f>Model!Y18</f>
        <v>22</v>
      </c>
      <c r="D26" s="24">
        <f>VRE_Start*(1-VRE_Dep)^22</f>
        <v>30</v>
      </c>
      <c r="E26" s="24">
        <f>Model!Y43</f>
        <v>55.035086460425305</v>
      </c>
      <c r="F26" s="24">
        <f>Model!Y45</f>
        <v>0</v>
      </c>
      <c r="G26" s="24" t="e">
        <f>Model!#REF!</f>
        <v>#REF!</v>
      </c>
      <c r="H26" s="24">
        <f>Model!Y67</f>
        <v>0</v>
      </c>
      <c r="I26" s="12">
        <f>Model!Y27</f>
        <v>78.98604801260916</v>
      </c>
      <c r="J26" s="13">
        <f>Model!Y32</f>
        <v>223.58677838575079</v>
      </c>
      <c r="K26" s="12">
        <f>Model!Y29</f>
        <v>78.922892585950365</v>
      </c>
      <c r="L26" s="13">
        <f>Model!Y22</f>
        <v>78.859676455312183</v>
      </c>
      <c r="M26" s="14">
        <f>Model!Y61</f>
        <v>-6.3978854044815732</v>
      </c>
      <c r="N26" s="26">
        <f>Model!Y60</f>
        <v>-811.22098417435438</v>
      </c>
      <c r="O26" s="10">
        <f>Model!Y58</f>
        <v>-741.32080789866768</v>
      </c>
      <c r="P26" s="10">
        <f>Model!Y59</f>
        <v>-37</v>
      </c>
      <c r="Q26" s="10">
        <f>Model!Y63</f>
        <v>0</v>
      </c>
      <c r="R26" s="15">
        <f>Model!Y34</f>
        <v>0.92606007999999995</v>
      </c>
      <c r="S26" s="10">
        <f>Model!Y39</f>
        <v>3.4481262405086923</v>
      </c>
      <c r="T26" s="10">
        <f>Model!Y23</f>
        <v>122.48581793850387</v>
      </c>
      <c r="U26" s="10">
        <f>Model!Y26</f>
        <v>1.2215003098486363</v>
      </c>
      <c r="V26" s="10">
        <f>Model!Y47</f>
        <v>2317.0076813193286</v>
      </c>
      <c r="W26" s="12">
        <f>Model!Y48</f>
        <v>86.386253219637894</v>
      </c>
      <c r="X26" s="12">
        <f>Model!Y30</f>
        <v>-3.4481262405086923</v>
      </c>
      <c r="Y26" s="12" t="e">
        <f>Baseline!Z27</f>
        <v>#REF!</v>
      </c>
      <c r="Z26" s="22">
        <f>Model!Y39</f>
        <v>3.4481262405086923</v>
      </c>
      <c r="AA26" s="24" t="e">
        <f>Baseline!Z14</f>
        <v>#REF!</v>
      </c>
      <c r="AB26" s="11">
        <f>Baseline!Z18</f>
        <v>22</v>
      </c>
      <c r="AC26" s="11">
        <f>Baseline!Z43</f>
        <v>0</v>
      </c>
      <c r="AD26" s="11" t="e">
        <f>Baseline!Z23</f>
        <v>#REF!</v>
      </c>
      <c r="AE26" s="11">
        <f>Baseline!Z68</f>
        <v>0</v>
      </c>
      <c r="AF26" s="10">
        <f>Baseline!Z62</f>
        <v>0</v>
      </c>
      <c r="AG26" s="16">
        <f>Model!Y51</f>
        <v>8.4056282541899865</v>
      </c>
      <c r="AH26" s="16">
        <f>Model!Y52</f>
        <v>2126.5810440184296</v>
      </c>
      <c r="AI26" s="16">
        <f>Model!Y57</f>
        <v>0.54017023259871011</v>
      </c>
      <c r="AJ26" s="17">
        <f>Model!Y7</f>
        <v>0</v>
      </c>
      <c r="AK26" s="18" t="e">
        <f>IF(Model!$C$27&gt;0,Baseline!Z27/Model!$C$27*100,100)</f>
        <v>#REF!</v>
      </c>
      <c r="AL26" s="18">
        <f>IF(Model!$C$27&gt;0,Baseline!Z33/Model!$C$27*100,100)</f>
        <v>0</v>
      </c>
      <c r="AM26" s="19" t="e">
        <f>Baseline!Z14</f>
        <v>#REF!</v>
      </c>
      <c r="AN26" s="19">
        <f>Baseline!Z43</f>
        <v>0</v>
      </c>
      <c r="AO26" s="20">
        <f>Baseline!Z62</f>
        <v>0</v>
      </c>
      <c r="AP26" s="19" t="e">
        <f>Baseline!Z15</f>
        <v>#REF!</v>
      </c>
      <c r="AQ26" s="19">
        <f>Baseline!Z20</f>
        <v>42.398399999999995</v>
      </c>
      <c r="AR26" s="19" t="e">
        <f>Baseline!Z24</f>
        <v>#REF!</v>
      </c>
      <c r="AS26" s="18">
        <f>IF(Baseline!Z22&gt;0,Baseline!Z27/Baseline!Z22,0)</f>
        <v>0</v>
      </c>
      <c r="AT26" s="19">
        <f>Baseline!Z18</f>
        <v>22</v>
      </c>
      <c r="AU26" s="19">
        <f>Baseline!Z43</f>
        <v>0</v>
      </c>
      <c r="AV26" s="21">
        <f t="shared" si="0"/>
        <v>30</v>
      </c>
      <c r="AW26" s="21">
        <f t="shared" si="0"/>
        <v>30</v>
      </c>
    </row>
    <row r="27" spans="1:49" ht="15" customHeight="1">
      <c r="A27" s="9" t="s">
        <v>554</v>
      </c>
      <c r="B27" s="24">
        <f>Model!Z14</f>
        <v>9.7010186643840868</v>
      </c>
      <c r="C27" s="24">
        <f>Model!Z18</f>
        <v>22</v>
      </c>
      <c r="D27" s="24">
        <f>VRE_Start*(1-VRE_Dep)^23</f>
        <v>30</v>
      </c>
      <c r="E27" s="24">
        <f>Model!Z43</f>
        <v>61.035086460425305</v>
      </c>
      <c r="F27" s="24">
        <f>Model!Z45</f>
        <v>0</v>
      </c>
      <c r="G27" s="24" t="e">
        <f>Model!#REF!</f>
        <v>#REF!</v>
      </c>
      <c r="H27" s="24">
        <f>Model!Z67</f>
        <v>0</v>
      </c>
      <c r="I27" s="12">
        <f>Model!Z27</f>
        <v>77.496475370136565</v>
      </c>
      <c r="J27" s="13">
        <f>Model!Z32</f>
        <v>211.94287551120667</v>
      </c>
      <c r="K27" s="12">
        <f>Model!Z29</f>
        <v>78.115911550610022</v>
      </c>
      <c r="L27" s="13">
        <f>Model!Z22</f>
        <v>78.728065767046971</v>
      </c>
      <c r="M27" s="14">
        <f>Model!Z61</f>
        <v>-7.3678051275826606</v>
      </c>
      <c r="N27" s="26">
        <f>Model!Z60</f>
        <v>-969.91972310108724</v>
      </c>
      <c r="O27" s="10">
        <f>Model!Z58</f>
        <v>-891.47889150178912</v>
      </c>
      <c r="P27" s="10">
        <f>Model!Z59</f>
        <v>-37</v>
      </c>
      <c r="Q27" s="10">
        <f>Model!Z63</f>
        <v>0</v>
      </c>
      <c r="R27" s="15">
        <f>Model!Z34</f>
        <v>0.95070672000000001</v>
      </c>
      <c r="S27" s="10">
        <f>Model!Z39</f>
        <v>2.6496221873108681</v>
      </c>
      <c r="T27" s="10">
        <f>Model!Z23</f>
        <v>128.48581793850389</v>
      </c>
      <c r="U27" s="10">
        <f>Model!Z26</f>
        <v>2.7363411388705003</v>
      </c>
      <c r="V27" s="10">
        <f>Model!Z47</f>
        <v>2655.726115792605</v>
      </c>
      <c r="W27" s="12">
        <f>Model!Z48</f>
        <v>86.837473829788692</v>
      </c>
      <c r="X27" s="12">
        <f>Model!Z30</f>
        <v>-2.6496221873108681</v>
      </c>
      <c r="Y27" s="12" t="e">
        <f>Baseline!AA27</f>
        <v>#REF!</v>
      </c>
      <c r="Z27" s="22">
        <f>Model!Z39</f>
        <v>2.6496221873108681</v>
      </c>
      <c r="AA27" s="24" t="e">
        <f>Baseline!AA14</f>
        <v>#REF!</v>
      </c>
      <c r="AB27" s="11">
        <f>Baseline!AA18</f>
        <v>22</v>
      </c>
      <c r="AC27" s="11">
        <f>Baseline!AA43</f>
        <v>0</v>
      </c>
      <c r="AD27" s="11" t="e">
        <f>Baseline!AA23</f>
        <v>#REF!</v>
      </c>
      <c r="AE27" s="11">
        <f>Baseline!AA68</f>
        <v>0</v>
      </c>
      <c r="AF27" s="10">
        <f>Baseline!AA62</f>
        <v>0</v>
      </c>
      <c r="AG27" s="16">
        <f>Model!Z51</f>
        <v>8.1410534186863543</v>
      </c>
      <c r="AH27" s="16">
        <f>Model!Z52</f>
        <v>2059.6449610878221</v>
      </c>
      <c r="AI27" s="16">
        <f>Model!Z57</f>
        <v>0.64658678878384512</v>
      </c>
      <c r="AJ27" s="17">
        <f>Model!Z7</f>
        <v>0</v>
      </c>
      <c r="AK27" s="18" t="e">
        <f>IF(Model!$C$27&gt;0,Baseline!AA27/Model!$C$27*100,100)</f>
        <v>#REF!</v>
      </c>
      <c r="AL27" s="18">
        <f>IF(Model!$C$27&gt;0,Baseline!AA33/Model!$C$27*100,100)</f>
        <v>0</v>
      </c>
      <c r="AM27" s="19" t="e">
        <f>Baseline!AA14</f>
        <v>#REF!</v>
      </c>
      <c r="AN27" s="19">
        <f>Baseline!AA43</f>
        <v>0</v>
      </c>
      <c r="AO27" s="20">
        <f>Baseline!AA62</f>
        <v>0</v>
      </c>
      <c r="AP27" s="19" t="e">
        <f>Baseline!AA15</f>
        <v>#REF!</v>
      </c>
      <c r="AQ27" s="19">
        <f>Baseline!AA20</f>
        <v>42.398399999999995</v>
      </c>
      <c r="AR27" s="19" t="e">
        <f>Baseline!AA24</f>
        <v>#REF!</v>
      </c>
      <c r="AS27" s="18">
        <f>IF(Baseline!AA22&gt;0,Baseline!AA27/Baseline!AA22,0)</f>
        <v>0</v>
      </c>
      <c r="AT27" s="19">
        <f>Baseline!AA18</f>
        <v>22</v>
      </c>
      <c r="AU27" s="19">
        <f>Baseline!AA43</f>
        <v>0</v>
      </c>
      <c r="AV27" s="21">
        <f t="shared" si="0"/>
        <v>30</v>
      </c>
      <c r="AW27" s="21">
        <f t="shared" si="0"/>
        <v>30</v>
      </c>
    </row>
    <row r="28" spans="1:49" ht="15" customHeight="1">
      <c r="A28" s="9" t="s">
        <v>555</v>
      </c>
      <c r="B28" s="24">
        <f>Model!AA14</f>
        <v>8.8385433543004197</v>
      </c>
      <c r="C28" s="24">
        <f>Model!AA18</f>
        <v>22</v>
      </c>
      <c r="D28" s="24">
        <f>VRE_Start*(1-VRE_Dep)^24</f>
        <v>30</v>
      </c>
      <c r="E28" s="24">
        <f>Model!AA43</f>
        <v>67.035086460425305</v>
      </c>
      <c r="F28" s="24">
        <f>Model!AA45</f>
        <v>0</v>
      </c>
      <c r="G28" s="24" t="e">
        <f>Model!#REF!</f>
        <v>#REF!</v>
      </c>
      <c r="H28" s="24">
        <f>Model!AA67</f>
        <v>0</v>
      </c>
      <c r="I28" s="12">
        <f>Model!AA27</f>
        <v>76.048930811696039</v>
      </c>
      <c r="J28" s="13">
        <f>Model!AA32</f>
        <v>224.89119806136563</v>
      </c>
      <c r="K28" s="12">
        <f>Model!AA29</f>
        <v>77.399298497466205</v>
      </c>
      <c r="L28" s="13">
        <f>Model!AA22</f>
        <v>78.71521357372329</v>
      </c>
      <c r="M28" s="14">
        <f>Model!AA61</f>
        <v>-8.3237382175106305</v>
      </c>
      <c r="N28" s="26">
        <f>Model!AA60</f>
        <v>-955.93308992796995</v>
      </c>
      <c r="O28" s="10">
        <f>Model!AA58</f>
        <v>-866.95686582034375</v>
      </c>
      <c r="P28" s="10">
        <f>Model!AA59</f>
        <v>-37</v>
      </c>
      <c r="Q28" s="10">
        <f>Model!AA63</f>
        <v>0</v>
      </c>
      <c r="R28" s="15">
        <f>Model!AA34</f>
        <v>0.97535336000000006</v>
      </c>
      <c r="S28" s="10">
        <f>Model!AA39</f>
        <v>3.6836684143521126</v>
      </c>
      <c r="T28" s="10">
        <f>Model!AA23</f>
        <v>134.48581793850389</v>
      </c>
      <c r="U28" s="10">
        <f>Model!AA26</f>
        <v>4.906728716956593</v>
      </c>
      <c r="V28" s="10">
        <f>Model!AA47</f>
        <v>2918.7674279888301</v>
      </c>
      <c r="W28" s="12">
        <f>Model!AA48</f>
        <v>86.992802984235539</v>
      </c>
      <c r="X28" s="12">
        <f>Model!AA30</f>
        <v>-3.6836684143521126</v>
      </c>
      <c r="Y28" s="12" t="e">
        <f>Baseline!AB27</f>
        <v>#REF!</v>
      </c>
      <c r="Z28" s="22">
        <f>Model!AA39</f>
        <v>3.6836684143521126</v>
      </c>
      <c r="AA28" s="24" t="e">
        <f>Baseline!AB14</f>
        <v>#REF!</v>
      </c>
      <c r="AB28" s="11">
        <f>Baseline!AB18</f>
        <v>22</v>
      </c>
      <c r="AC28" s="11">
        <f>Baseline!AB43</f>
        <v>0</v>
      </c>
      <c r="AD28" s="11" t="e">
        <f>Baseline!AB23</f>
        <v>#REF!</v>
      </c>
      <c r="AE28" s="11">
        <f>Baseline!AB68</f>
        <v>0</v>
      </c>
      <c r="AF28" s="10">
        <f>Baseline!AB62</f>
        <v>0</v>
      </c>
      <c r="AG28" s="16">
        <f>Model!AA51</f>
        <v>8.5175345912480935</v>
      </c>
      <c r="AH28" s="16">
        <f>Model!AA52</f>
        <v>2154.8927760980255</v>
      </c>
      <c r="AI28" s="16">
        <f>Model!AA57</f>
        <v>0.62623487836048886</v>
      </c>
      <c r="AJ28" s="17">
        <f>Model!AA7</f>
        <v>0</v>
      </c>
      <c r="AK28" s="18" t="e">
        <f>IF(Model!$C$27&gt;0,Baseline!AB27/Model!$C$27*100,100)</f>
        <v>#REF!</v>
      </c>
      <c r="AL28" s="18">
        <f>IF(Model!$C$27&gt;0,Baseline!AB33/Model!$C$27*100,100)</f>
        <v>0</v>
      </c>
      <c r="AM28" s="19" t="e">
        <f>Baseline!AB14</f>
        <v>#REF!</v>
      </c>
      <c r="AN28" s="19">
        <f>Baseline!AB43</f>
        <v>0</v>
      </c>
      <c r="AO28" s="20">
        <f>Baseline!AB62</f>
        <v>0</v>
      </c>
      <c r="AP28" s="19" t="e">
        <f>Baseline!AB15</f>
        <v>#REF!</v>
      </c>
      <c r="AQ28" s="19">
        <f>Baseline!AB20</f>
        <v>42.398399999999995</v>
      </c>
      <c r="AR28" s="19" t="e">
        <f>Baseline!AB24</f>
        <v>#REF!</v>
      </c>
      <c r="AS28" s="18">
        <f>IF(Baseline!AB22&gt;0,Baseline!AB27/Baseline!AB22,0)</f>
        <v>0</v>
      </c>
      <c r="AT28" s="19">
        <f>Baseline!AB18</f>
        <v>22</v>
      </c>
      <c r="AU28" s="19">
        <f>Baseline!AB43</f>
        <v>0</v>
      </c>
      <c r="AV28" s="21">
        <f t="shared" si="0"/>
        <v>30</v>
      </c>
      <c r="AW28" s="21">
        <f t="shared" si="0"/>
        <v>30</v>
      </c>
    </row>
    <row r="29" spans="1:49" ht="15" customHeight="1">
      <c r="A29" s="9" t="s">
        <v>556</v>
      </c>
      <c r="B29" s="24">
        <f>Model!AB14</f>
        <v>8.0227624163454756</v>
      </c>
      <c r="C29" s="24">
        <f>Model!AB18</f>
        <v>22</v>
      </c>
      <c r="D29" s="24">
        <f>VRE_Start*(1-VRE_Dep)^25</f>
        <v>30</v>
      </c>
      <c r="E29" s="24">
        <f>Model!AB43</f>
        <v>73.035086460425305</v>
      </c>
      <c r="F29" s="24">
        <f>Model!AB45</f>
        <v>0</v>
      </c>
      <c r="G29" s="24" t="e">
        <f>Model!#REF!</f>
        <v>#REF!</v>
      </c>
      <c r="H29" s="24">
        <f>Model!AB67</f>
        <v>0</v>
      </c>
      <c r="I29" s="12">
        <f>Model!AB27</f>
        <v>74.212876360656736</v>
      </c>
      <c r="J29" s="13">
        <f>Model!AB32</f>
        <v>215.40336440744849</v>
      </c>
      <c r="K29" s="12">
        <f>Model!AB29</f>
        <v>76.570744197563215</v>
      </c>
      <c r="L29" s="13">
        <f>Model!AB22</f>
        <v>78.824378733195928</v>
      </c>
      <c r="M29" s="14">
        <f>Model!AB61</f>
        <v>-9.3351314162842378</v>
      </c>
      <c r="N29" s="26">
        <f>Model!AB60</f>
        <v>-1011.3931987736071</v>
      </c>
      <c r="O29" s="10">
        <f>Model!AB58</f>
        <v>-911.32903441154804</v>
      </c>
      <c r="P29" s="10">
        <f>Model!AB59</f>
        <v>-37</v>
      </c>
      <c r="Q29" s="10">
        <f>Model!AB63</f>
        <v>0</v>
      </c>
      <c r="R29" s="15">
        <f>Model!AB34</f>
        <v>1</v>
      </c>
      <c r="S29" s="10">
        <f>Model!AB39</f>
        <v>3.0299645198425438</v>
      </c>
      <c r="T29" s="10">
        <f>Model!AB23</f>
        <v>140.48581793850389</v>
      </c>
      <c r="U29" s="10">
        <f>Model!AB26</f>
        <v>6.8551743021144489</v>
      </c>
      <c r="V29" s="10">
        <f>Model!AB47</f>
        <v>3175.435800735936</v>
      </c>
      <c r="W29" s="12">
        <f>Model!AB48</f>
        <v>87.180738209605451</v>
      </c>
      <c r="X29" s="12">
        <f>Model!AB30</f>
        <v>-3.0299645198425438</v>
      </c>
      <c r="Y29" s="12" t="e">
        <f>Baseline!AC27</f>
        <v>#REF!</v>
      </c>
      <c r="Z29" s="22">
        <f>Model!AB39</f>
        <v>3.0299645198425438</v>
      </c>
      <c r="AA29" s="24" t="e">
        <f>Baseline!AC14</f>
        <v>#REF!</v>
      </c>
      <c r="AB29" s="11">
        <f>Baseline!AC18</f>
        <v>22</v>
      </c>
      <c r="AC29" s="11">
        <f>Baseline!AC43</f>
        <v>0</v>
      </c>
      <c r="AD29" s="11" t="e">
        <f>Baseline!AC23</f>
        <v>#REF!</v>
      </c>
      <c r="AE29" s="11">
        <f>Baseline!AC68</f>
        <v>0</v>
      </c>
      <c r="AF29" s="10">
        <f>Baseline!AC62</f>
        <v>0</v>
      </c>
      <c r="AG29" s="16">
        <f>Model!AB51</f>
        <v>9.7193980353661757</v>
      </c>
      <c r="AH29" s="16">
        <f>Model!AB52</f>
        <v>2458.9580928679156</v>
      </c>
      <c r="AI29" s="16">
        <f>Model!AB57</f>
        <v>0.65519496855754566</v>
      </c>
      <c r="AJ29" s="17">
        <f>Model!AB7</f>
        <v>0</v>
      </c>
      <c r="AK29" s="18" t="e">
        <f>IF(Model!$C$27&gt;0,Baseline!AC27/Model!$C$27*100,100)</f>
        <v>#REF!</v>
      </c>
      <c r="AL29" s="18">
        <f>IF(Model!$C$27&gt;0,Baseline!AC33/Model!$C$27*100,100)</f>
        <v>0</v>
      </c>
      <c r="AM29" s="19" t="e">
        <f>Baseline!AC14</f>
        <v>#REF!</v>
      </c>
      <c r="AN29" s="19">
        <f>Baseline!AC43</f>
        <v>0</v>
      </c>
      <c r="AO29" s="20">
        <f>Baseline!AC62</f>
        <v>0</v>
      </c>
      <c r="AP29" s="19" t="e">
        <f>Baseline!AC15</f>
        <v>#REF!</v>
      </c>
      <c r="AQ29" s="19">
        <f>Baseline!AC20</f>
        <v>42.398399999999995</v>
      </c>
      <c r="AR29" s="19" t="e">
        <f>Baseline!AC24</f>
        <v>#REF!</v>
      </c>
      <c r="AS29" s="18">
        <f>IF(Baseline!AC22&gt;0,Baseline!AC27/Baseline!AC22,0)</f>
        <v>0</v>
      </c>
      <c r="AT29" s="19">
        <f>Baseline!AC18</f>
        <v>22</v>
      </c>
      <c r="AU29" s="19">
        <f>Baseline!AC43</f>
        <v>0</v>
      </c>
      <c r="AV29" s="21">
        <f t="shared" si="0"/>
        <v>30</v>
      </c>
      <c r="AW29" s="21">
        <f t="shared" si="0"/>
        <v>30</v>
      </c>
    </row>
    <row r="30" spans="1:49" ht="1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row>
    <row r="31" spans="1:49" ht="15" customHeight="1">
      <c r="A31" s="1"/>
      <c r="B31" s="1"/>
      <c r="C31" s="1"/>
      <c r="D31" s="1"/>
      <c r="E31" s="1"/>
      <c r="F31" s="1"/>
      <c r="G31" s="1"/>
      <c r="H31" s="1"/>
      <c r="I31" s="1"/>
      <c r="J31" s="1"/>
      <c r="K31" s="1"/>
      <c r="L31" s="1"/>
      <c r="M31" s="1"/>
      <c r="N31" s="1"/>
      <c r="O31" s="1"/>
      <c r="P31" s="1"/>
      <c r="Q31" s="1"/>
      <c r="R31" s="1"/>
      <c r="S31" s="1"/>
      <c r="T31" s="1"/>
      <c r="U31" s="25"/>
      <c r="V31" s="1"/>
      <c r="W31" s="1"/>
      <c r="X31" s="1"/>
      <c r="Y31" s="1"/>
      <c r="Z31" s="1"/>
      <c r="AA31" s="1"/>
      <c r="AB31" s="1"/>
      <c r="AC31" s="1"/>
      <c r="AD31" s="1"/>
      <c r="AE31" s="1"/>
      <c r="AF31" s="1"/>
      <c r="AG31" s="1"/>
      <c r="AH31" s="1"/>
      <c r="AI31" s="1"/>
    </row>
    <row r="32" spans="1:49" ht="15" customHeight="1">
      <c r="A32" s="1"/>
      <c r="B32" s="1"/>
      <c r="C32" s="1"/>
      <c r="D32" s="1"/>
      <c r="E32" s="1"/>
      <c r="F32" s="1"/>
      <c r="G32" s="1"/>
      <c r="H32" s="1"/>
      <c r="I32" s="1"/>
      <c r="J32" s="1"/>
      <c r="K32" s="1"/>
      <c r="L32" s="1"/>
      <c r="M32" s="1"/>
      <c r="N32" s="1"/>
      <c r="O32" s="1"/>
      <c r="P32" s="1"/>
      <c r="Q32" s="1"/>
      <c r="R32" s="1"/>
      <c r="S32" s="1"/>
      <c r="T32" s="1"/>
      <c r="U32" s="25"/>
      <c r="V32" s="1"/>
      <c r="W32" s="1"/>
      <c r="X32" s="1"/>
      <c r="Y32" s="1"/>
      <c r="Z32" s="1"/>
      <c r="AA32" s="1"/>
      <c r="AB32" s="1"/>
      <c r="AC32" s="1"/>
      <c r="AD32" s="1"/>
      <c r="AE32" s="1"/>
      <c r="AF32" s="1"/>
      <c r="AG32" s="1"/>
      <c r="AH32" s="1"/>
      <c r="AI32" s="1"/>
    </row>
    <row r="33" spans="1:35" ht="15" customHeight="1">
      <c r="A33" s="1"/>
      <c r="B33" s="1"/>
      <c r="C33" s="1"/>
      <c r="D33" s="1"/>
      <c r="E33" s="1"/>
      <c r="F33" s="1"/>
      <c r="G33" s="1"/>
      <c r="H33" s="1"/>
      <c r="I33" s="1"/>
      <c r="J33" s="1"/>
      <c r="K33" s="1"/>
      <c r="L33" s="1"/>
      <c r="M33" s="1"/>
      <c r="N33" s="1"/>
      <c r="O33" s="1"/>
      <c r="P33" s="1"/>
      <c r="Q33" s="1"/>
      <c r="R33" s="1"/>
      <c r="S33" s="1"/>
      <c r="T33" s="1"/>
      <c r="U33" s="25"/>
      <c r="V33" s="1"/>
      <c r="W33" s="1"/>
      <c r="X33" s="1"/>
      <c r="Y33" s="1"/>
      <c r="Z33" s="1"/>
      <c r="AA33" s="1"/>
      <c r="AB33" s="1"/>
      <c r="AC33" s="1"/>
      <c r="AD33" s="1"/>
      <c r="AE33" s="1"/>
      <c r="AF33" s="1"/>
      <c r="AG33" s="1"/>
      <c r="AH33" s="1"/>
      <c r="AI33" s="1"/>
    </row>
    <row r="34" spans="1:35" ht="15" customHeight="1">
      <c r="A34" s="1"/>
      <c r="B34" s="1"/>
      <c r="C34" s="1"/>
      <c r="D34" s="1"/>
      <c r="E34" s="1"/>
      <c r="F34" s="1"/>
      <c r="G34" s="1"/>
      <c r="H34" s="1"/>
      <c r="I34" s="1"/>
      <c r="J34" s="1"/>
      <c r="K34" s="1"/>
      <c r="L34" s="1"/>
      <c r="M34" s="1"/>
      <c r="N34" s="1"/>
      <c r="O34" s="1"/>
      <c r="P34" s="1"/>
      <c r="Q34" s="1"/>
      <c r="R34" s="1"/>
      <c r="S34" s="1"/>
      <c r="T34" s="1"/>
      <c r="U34" s="25"/>
      <c r="V34" s="1"/>
      <c r="W34" s="1"/>
      <c r="X34" s="1"/>
      <c r="Y34" s="1"/>
      <c r="Z34" s="1"/>
      <c r="AA34" s="1"/>
      <c r="AB34" s="1"/>
      <c r="AC34" s="1"/>
      <c r="AD34" s="1"/>
      <c r="AE34" s="1"/>
      <c r="AF34" s="1"/>
      <c r="AG34" s="1"/>
      <c r="AH34" s="1"/>
      <c r="AI34" s="1"/>
    </row>
    <row r="35" spans="1:35">
      <c r="U35" s="25"/>
    </row>
    <row r="36" spans="1:35">
      <c r="U36" s="25"/>
    </row>
  </sheetData>
  <pageMargins left="0.75" right="0.75" top="1" bottom="1" header="0.511811023622047" footer="0.511811023622047"/>
  <pageSetup paperSize="9" orientation="portrait" horizontalDpi="300" verticalDpi="300"/>
  <headerFooter>
    <oddHeader>&amp;C&amp;"Aptos"&amp;12&amp;KFF0000 OFFICIAL&amp;1#_x000D_&amp;"Calibri"&amp;11&amp;K000000&amp;"Calibri"&amp;11&amp;K000000&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4"/>
  <sheetViews>
    <sheetView workbookViewId="0">
      <pane ySplit="2" topLeftCell="A74" activePane="bottomLeft" state="frozen"/>
      <selection pane="bottomLeft" activeCell="D78" sqref="D78"/>
    </sheetView>
  </sheetViews>
  <sheetFormatPr defaultRowHeight="15"/>
  <cols>
    <col min="1" max="1" width="7" customWidth="1"/>
    <col min="2" max="2" width="26" customWidth="1"/>
    <col min="3" max="3" width="12" customWidth="1"/>
    <col min="4" max="4" width="72" customWidth="1"/>
    <col min="5" max="5" width="45" customWidth="1"/>
  </cols>
  <sheetData>
    <row r="1" spans="1:6">
      <c r="A1" s="112" t="s">
        <v>596</v>
      </c>
      <c r="B1" s="102"/>
      <c r="C1" s="102"/>
      <c r="D1" s="102"/>
      <c r="E1" s="102"/>
      <c r="F1" s="102"/>
    </row>
    <row r="2" spans="1:6" ht="30" customHeight="1">
      <c r="A2" s="109" t="s">
        <v>597</v>
      </c>
      <c r="B2" s="102"/>
      <c r="C2" s="102"/>
      <c r="D2" s="102"/>
      <c r="E2" s="102"/>
      <c r="F2" s="102"/>
    </row>
    <row r="4" spans="1:6">
      <c r="A4" s="110" t="s">
        <v>598</v>
      </c>
      <c r="B4" s="102"/>
      <c r="C4" s="102"/>
      <c r="D4" s="102"/>
      <c r="E4" s="102"/>
      <c r="F4" s="102"/>
    </row>
    <row r="5" spans="1:6">
      <c r="A5" s="27" t="s">
        <v>599</v>
      </c>
      <c r="B5" s="27" t="s">
        <v>600</v>
      </c>
      <c r="C5" s="27" t="s">
        <v>601</v>
      </c>
      <c r="D5" s="27" t="s">
        <v>2</v>
      </c>
      <c r="E5" s="27" t="s">
        <v>602</v>
      </c>
    </row>
    <row r="6" spans="1:6" ht="24" customHeight="1">
      <c r="A6" s="28" t="s">
        <v>603</v>
      </c>
      <c r="B6" s="29" t="s">
        <v>604</v>
      </c>
      <c r="C6" s="29" t="s">
        <v>605</v>
      </c>
      <c r="D6" s="29" t="s">
        <v>606</v>
      </c>
      <c r="E6" s="29" t="e">
        <f>Scenarios lookup by scenario name</f>
        <v>#NAME?</v>
      </c>
    </row>
    <row r="7" spans="1:6" ht="24" customHeight="1">
      <c r="A7" s="30" t="s">
        <v>607</v>
      </c>
      <c r="B7" s="31" t="s">
        <v>608</v>
      </c>
      <c r="C7" s="31" t="s">
        <v>605</v>
      </c>
      <c r="D7" s="31" t="s">
        <v>609</v>
      </c>
      <c r="E7" s="31" t="e">
        <f>Scenarios lookup by scenario name</f>
        <v>#NAME?</v>
      </c>
    </row>
    <row r="8" spans="1:6" ht="24" customHeight="1">
      <c r="A8" s="28" t="s">
        <v>610</v>
      </c>
      <c r="B8" s="29" t="s">
        <v>611</v>
      </c>
      <c r="C8" s="29" t="s">
        <v>18</v>
      </c>
      <c r="D8" s="29" t="s">
        <v>612</v>
      </c>
      <c r="E8" s="29" t="e">
        <f>Dem_Start*(1+Dem_Growth)^t</f>
        <v>#NAME?</v>
      </c>
    </row>
    <row r="9" spans="1:6" ht="24" customHeight="1">
      <c r="A9" s="30" t="s">
        <v>613</v>
      </c>
      <c r="B9" s="31" t="s">
        <v>614</v>
      </c>
      <c r="C9" s="31" t="s">
        <v>18</v>
      </c>
      <c r="D9" s="31" t="s">
        <v>615</v>
      </c>
      <c r="E9" s="31">
        <f>R6*(1+R4)</f>
        <v>0</v>
      </c>
    </row>
    <row r="10" spans="1:6" ht="24" customHeight="1">
      <c r="A10" s="28" t="s">
        <v>616</v>
      </c>
      <c r="B10" s="29" t="s">
        <v>617</v>
      </c>
      <c r="C10" s="29" t="s">
        <v>26</v>
      </c>
      <c r="D10" s="29" t="s">
        <v>618</v>
      </c>
      <c r="E10" s="29" t="e">
        <f>Peak_Start*(1+Peak_Growth)^t</f>
        <v>#NAME?</v>
      </c>
    </row>
    <row r="11" spans="1:6" ht="24" customHeight="1">
      <c r="A11" s="30" t="s">
        <v>619</v>
      </c>
      <c r="B11" s="31" t="s">
        <v>620</v>
      </c>
      <c r="C11" s="31" t="s">
        <v>26</v>
      </c>
      <c r="D11" s="31" t="s">
        <v>621</v>
      </c>
      <c r="E11" s="31">
        <f>R8*(1+R4)</f>
        <v>0</v>
      </c>
    </row>
    <row r="13" spans="1:6">
      <c r="A13" s="110" t="s">
        <v>622</v>
      </c>
      <c r="B13" s="102"/>
      <c r="C13" s="102"/>
      <c r="D13" s="102"/>
      <c r="E13" s="102"/>
      <c r="F13" s="102"/>
    </row>
    <row r="14" spans="1:6">
      <c r="A14" s="27" t="s">
        <v>599</v>
      </c>
      <c r="B14" s="27" t="s">
        <v>600</v>
      </c>
      <c r="C14" s="27" t="s">
        <v>601</v>
      </c>
      <c r="D14" s="27" t="s">
        <v>2</v>
      </c>
      <c r="E14" s="27" t="s">
        <v>602</v>
      </c>
    </row>
    <row r="15" spans="1:6" ht="24" customHeight="1">
      <c r="A15" s="30" t="s">
        <v>623</v>
      </c>
      <c r="B15" s="31" t="s">
        <v>624</v>
      </c>
      <c r="C15" s="31" t="s">
        <v>44</v>
      </c>
      <c r="D15" s="31" t="s">
        <v>625</v>
      </c>
      <c r="E15" s="31" t="e">
        <f>Coal_SRMC*(1+Coal_Esc)^t</f>
        <v>#NAME?</v>
      </c>
    </row>
    <row r="16" spans="1:6" ht="24" customHeight="1">
      <c r="A16" s="28" t="s">
        <v>626</v>
      </c>
      <c r="B16" s="29" t="s">
        <v>627</v>
      </c>
      <c r="C16" s="29" t="s">
        <v>605</v>
      </c>
      <c r="D16" s="29" t="s">
        <v>628</v>
      </c>
      <c r="E16" s="29" t="e">
        <f>Scenarios lookup</f>
        <v>#NAME?</v>
      </c>
    </row>
    <row r="17" spans="1:6" ht="36" customHeight="1">
      <c r="A17" s="30" t="s">
        <v>629</v>
      </c>
      <c r="B17" s="31" t="s">
        <v>630</v>
      </c>
      <c r="C17" s="31" t="s">
        <v>605</v>
      </c>
      <c r="D17" s="31" t="s">
        <v>631</v>
      </c>
      <c r="E17" s="31"/>
    </row>
    <row r="18" spans="1:6" ht="36" customHeight="1">
      <c r="A18" s="28" t="s">
        <v>632</v>
      </c>
      <c r="B18" s="29" t="s">
        <v>425</v>
      </c>
      <c r="C18" s="29" t="s">
        <v>26</v>
      </c>
      <c r="D18" s="29" t="s">
        <v>633</v>
      </c>
      <c r="E18" s="29" t="e">
        <f>MAX(0, prev*(1-R12)*(1-R13))</f>
        <v>#NAME?</v>
      </c>
    </row>
    <row r="19" spans="1:6" ht="24" customHeight="1">
      <c r="A19" s="30" t="s">
        <v>634</v>
      </c>
      <c r="B19" s="31" t="s">
        <v>635</v>
      </c>
      <c r="C19" s="31" t="s">
        <v>18</v>
      </c>
      <c r="D19" s="31" t="s">
        <v>636</v>
      </c>
      <c r="E19" s="31">
        <f>R14 * Coal_CFe * 8.76 * (1+R5)</f>
        <v>0</v>
      </c>
    </row>
    <row r="20" spans="1:6" ht="24" customHeight="1">
      <c r="A20" s="28" t="s">
        <v>637</v>
      </c>
      <c r="B20" s="29" t="s">
        <v>638</v>
      </c>
      <c r="C20" s="29" t="s">
        <v>26</v>
      </c>
      <c r="D20" s="29" t="s">
        <v>639</v>
      </c>
      <c r="E20" s="29">
        <f>R14 * Coal_CFp</f>
        <v>0</v>
      </c>
    </row>
    <row r="22" spans="1:6">
      <c r="A22" s="110" t="s">
        <v>640</v>
      </c>
      <c r="B22" s="102"/>
      <c r="C22" s="102"/>
      <c r="D22" s="102"/>
      <c r="E22" s="102"/>
      <c r="F22" s="102"/>
    </row>
    <row r="23" spans="1:6">
      <c r="A23" s="27" t="s">
        <v>599</v>
      </c>
      <c r="B23" s="27" t="s">
        <v>600</v>
      </c>
      <c r="C23" s="27" t="s">
        <v>601</v>
      </c>
      <c r="D23" s="27" t="s">
        <v>2</v>
      </c>
      <c r="E23" s="27" t="s">
        <v>602</v>
      </c>
    </row>
    <row r="24" spans="1:6" ht="36" customHeight="1">
      <c r="A24" s="28" t="s">
        <v>641</v>
      </c>
      <c r="B24" s="29" t="s">
        <v>642</v>
      </c>
      <c r="C24" s="29" t="s">
        <v>44</v>
      </c>
      <c r="D24" s="29" t="s">
        <v>643</v>
      </c>
      <c r="E24" s="29" t="e">
        <f>Firm_SRMC  #REF!</f>
        <v>#REF!</v>
      </c>
    </row>
    <row r="25" spans="1:6" ht="36" customHeight="1">
      <c r="A25" s="30" t="s">
        <v>644</v>
      </c>
      <c r="B25" s="31" t="s">
        <v>429</v>
      </c>
      <c r="C25" s="31" t="s">
        <v>26</v>
      </c>
      <c r="D25" s="31" t="s">
        <v>645</v>
      </c>
      <c r="E25" s="31" t="e">
        <f>Firm_Start*(1-Firm_Decay)^t</f>
        <v>#NAME?</v>
      </c>
    </row>
    <row r="26" spans="1:6">
      <c r="A26" s="28" t="s">
        <v>646</v>
      </c>
      <c r="B26" s="29" t="s">
        <v>647</v>
      </c>
      <c r="C26" s="29" t="s">
        <v>26</v>
      </c>
      <c r="D26" s="29" t="s">
        <v>648</v>
      </c>
      <c r="E26" s="29">
        <f>R18 * Firm_CFp</f>
        <v>0</v>
      </c>
    </row>
    <row r="27" spans="1:6" ht="36" customHeight="1">
      <c r="A27" s="30" t="s">
        <v>649</v>
      </c>
      <c r="B27" s="31" t="s">
        <v>650</v>
      </c>
      <c r="C27" s="31" t="s">
        <v>18</v>
      </c>
      <c r="D27" s="31" t="s">
        <v>651</v>
      </c>
      <c r="E27" s="31"/>
    </row>
    <row r="29" spans="1:6">
      <c r="A29" s="110" t="s">
        <v>652</v>
      </c>
      <c r="B29" s="102"/>
      <c r="C29" s="102"/>
      <c r="D29" s="102"/>
      <c r="E29" s="102"/>
      <c r="F29" s="102"/>
    </row>
    <row r="30" spans="1:6">
      <c r="A30" s="27" t="s">
        <v>599</v>
      </c>
      <c r="B30" s="27" t="s">
        <v>600</v>
      </c>
      <c r="C30" s="27" t="s">
        <v>601</v>
      </c>
      <c r="D30" s="27" t="s">
        <v>2</v>
      </c>
      <c r="E30" s="27" t="s">
        <v>602</v>
      </c>
    </row>
    <row r="31" spans="1:6" ht="36" customHeight="1">
      <c r="A31" s="30" t="s">
        <v>653</v>
      </c>
      <c r="B31" s="31" t="s">
        <v>654</v>
      </c>
      <c r="C31" s="31" t="s">
        <v>44</v>
      </c>
      <c r="D31" s="31" t="s">
        <v>655</v>
      </c>
      <c r="E31" s="31" t="e">
        <f>IF(t&lt;=BP, LRMC*(1+T1)^t, LRMC*(1+T1)^BP*(1+T2)^(t-BP))</f>
        <v>#NAME?</v>
      </c>
    </row>
    <row r="32" spans="1:6" ht="48" customHeight="1">
      <c r="A32" s="28" t="s">
        <v>656</v>
      </c>
      <c r="B32" s="29" t="s">
        <v>657</v>
      </c>
      <c r="C32" s="29" t="s">
        <v>26</v>
      </c>
      <c r="D32" s="29" t="s">
        <v>658</v>
      </c>
      <c r="E32" s="29" t="e">
        <f ca="1">VRE_Start*(1-VRE_Dep)^t + LAG3(R43) + LAG3(R45)</f>
        <v>#NAME?</v>
      </c>
    </row>
    <row r="33" spans="1:6" ht="24" customHeight="1">
      <c r="A33" s="30" t="s">
        <v>659</v>
      </c>
      <c r="B33" s="31" t="s">
        <v>660</v>
      </c>
      <c r="C33" s="31" t="s">
        <v>18</v>
      </c>
      <c r="D33" s="31" t="s">
        <v>661</v>
      </c>
      <c r="E33" s="31">
        <f>R23 * VRE_CFe * 8.76 * (1+R5)</f>
        <v>0</v>
      </c>
    </row>
    <row r="35" spans="1:6">
      <c r="A35" s="110" t="s">
        <v>662</v>
      </c>
      <c r="B35" s="102"/>
      <c r="C35" s="102"/>
      <c r="D35" s="102"/>
      <c r="E35" s="102"/>
      <c r="F35" s="102"/>
    </row>
    <row r="36" spans="1:6">
      <c r="A36" s="27" t="s">
        <v>599</v>
      </c>
      <c r="B36" s="27" t="s">
        <v>600</v>
      </c>
      <c r="C36" s="27" t="s">
        <v>601</v>
      </c>
      <c r="D36" s="27" t="s">
        <v>2</v>
      </c>
      <c r="E36" s="27" t="s">
        <v>602</v>
      </c>
    </row>
    <row r="37" spans="1:6" ht="60" customHeight="1">
      <c r="A37" s="30" t="s">
        <v>663</v>
      </c>
      <c r="B37" s="31" t="s">
        <v>664</v>
      </c>
      <c r="C37" s="31" t="s">
        <v>18</v>
      </c>
      <c r="D37" s="31" t="s">
        <v>665</v>
      </c>
      <c r="E37" s="31" t="e">
        <f>R15 + R24 + Other_Gen - R7</f>
        <v>#REF!</v>
      </c>
    </row>
    <row r="38" spans="1:6" ht="48" customHeight="1">
      <c r="A38" s="28" t="s">
        <v>666</v>
      </c>
      <c r="B38" s="29" t="s">
        <v>667</v>
      </c>
      <c r="C38" s="29" t="s">
        <v>44</v>
      </c>
      <c r="D38" s="29" t="s">
        <v>668</v>
      </c>
      <c r="E38" s="29"/>
    </row>
    <row r="39" spans="1:6">
      <c r="A39" s="30" t="s">
        <v>669</v>
      </c>
      <c r="B39" s="31" t="s">
        <v>670</v>
      </c>
      <c r="C39" s="31" t="s">
        <v>44</v>
      </c>
      <c r="D39" s="31" t="s">
        <v>671</v>
      </c>
      <c r="E39" s="31">
        <f>R27</f>
        <v>0</v>
      </c>
    </row>
    <row r="40" spans="1:6">
      <c r="A40" s="28" t="s">
        <v>672</v>
      </c>
      <c r="B40" s="29" t="s">
        <v>673</v>
      </c>
      <c r="C40" s="29" t="s">
        <v>39</v>
      </c>
      <c r="D40" s="29" t="s">
        <v>674</v>
      </c>
      <c r="E40" s="29" t="e">
        <f>VRE_CFe  #REF!</f>
        <v>#REF!</v>
      </c>
    </row>
    <row r="41" spans="1:6" ht="60" customHeight="1">
      <c r="A41" s="30" t="s">
        <v>675</v>
      </c>
      <c r="B41" s="31" t="s">
        <v>676</v>
      </c>
      <c r="C41" s="31" t="s">
        <v>44</v>
      </c>
      <c r="D41" s="31" t="s">
        <v>677</v>
      </c>
      <c r="E41" s="31" t="e">
        <f>Alpha*avg_LRMC + (1-Alpha-SC_Wt)*avg_WS*noise + SC_Wt*avg_SC</f>
        <v>#NAME?</v>
      </c>
    </row>
    <row r="42" spans="1:6" ht="48" customHeight="1">
      <c r="A42" s="28" t="s">
        <v>678</v>
      </c>
      <c r="B42" s="29" t="s">
        <v>441</v>
      </c>
      <c r="C42" s="29" t="s">
        <v>26</v>
      </c>
      <c r="D42" s="29" t="s">
        <v>679</v>
      </c>
      <c r="E42" s="29" t="e">
        <f ca="1">R16+R19+LAG3(R46)+LAG3(R68)+R23*ELCC+Other_Firm-R9</f>
        <v>#REF!</v>
      </c>
    </row>
    <row r="43" spans="1:6">
      <c r="A43" s="30" t="s">
        <v>680</v>
      </c>
      <c r="B43" s="31" t="s">
        <v>681</v>
      </c>
      <c r="C43" s="31" t="s">
        <v>39</v>
      </c>
      <c r="D43" s="31"/>
      <c r="E43" s="31" t="e">
        <f>-R31/R9</f>
        <v>#DIV/0!</v>
      </c>
    </row>
    <row r="44" spans="1:6" ht="36" customHeight="1">
      <c r="A44" s="28" t="s">
        <v>682</v>
      </c>
      <c r="B44" s="29" t="s">
        <v>443</v>
      </c>
      <c r="C44" s="29" t="s">
        <v>44</v>
      </c>
      <c r="D44" s="29" t="s">
        <v>683</v>
      </c>
      <c r="E44" s="29">
        <f>Firm_SRMC * EXP(Firm_Tight * R32)</f>
        <v>180</v>
      </c>
    </row>
    <row r="45" spans="1:6" ht="36" customHeight="1">
      <c r="A45" s="30" t="s">
        <v>684</v>
      </c>
      <c r="B45" s="31" t="s">
        <v>685</v>
      </c>
      <c r="C45" s="31" t="s">
        <v>44</v>
      </c>
      <c r="D45" s="31" t="s">
        <v>686</v>
      </c>
      <c r="E45" s="31" t="e">
        <f>Firm_LRMC  #REF!</f>
        <v>#REF!</v>
      </c>
    </row>
    <row r="47" spans="1:6">
      <c r="A47" s="110" t="s">
        <v>687</v>
      </c>
      <c r="B47" s="102"/>
      <c r="C47" s="102"/>
      <c r="D47" s="102"/>
      <c r="E47" s="102"/>
      <c r="F47" s="102"/>
    </row>
    <row r="48" spans="1:6">
      <c r="A48" s="27" t="s">
        <v>599</v>
      </c>
      <c r="B48" s="27" t="s">
        <v>600</v>
      </c>
      <c r="C48" s="27" t="s">
        <v>601</v>
      </c>
      <c r="D48" s="27" t="s">
        <v>2</v>
      </c>
      <c r="E48" s="27" t="s">
        <v>602</v>
      </c>
    </row>
    <row r="49" spans="1:6" ht="36" customHeight="1">
      <c r="A49" s="30" t="s">
        <v>688</v>
      </c>
      <c r="B49" s="31" t="s">
        <v>689</v>
      </c>
      <c r="C49" s="31" t="s">
        <v>371</v>
      </c>
      <c r="D49" s="31" t="s">
        <v>690</v>
      </c>
      <c r="E49" s="31">
        <f>MAX(0, (R30 - R22) / VRE_Sprd)</f>
        <v>0</v>
      </c>
    </row>
    <row r="50" spans="1:6" ht="36" customHeight="1">
      <c r="A50" s="28" t="s">
        <v>691</v>
      </c>
      <c r="B50" s="29" t="s">
        <v>692</v>
      </c>
      <c r="C50" s="29" t="s">
        <v>371</v>
      </c>
      <c r="D50" s="29" t="s">
        <v>693</v>
      </c>
      <c r="E50" s="29">
        <f>MAX(0, (R33 - R34) / Firm_Sprd)</f>
        <v>0</v>
      </c>
    </row>
    <row r="51" spans="1:6" ht="36" customHeight="1">
      <c r="A51" s="30" t="s">
        <v>694</v>
      </c>
      <c r="B51" s="31" t="s">
        <v>695</v>
      </c>
      <c r="C51" s="31" t="s">
        <v>18</v>
      </c>
      <c r="D51" s="31" t="s">
        <v>696</v>
      </c>
      <c r="E51" s="31"/>
    </row>
    <row r="52" spans="1:6" ht="36" customHeight="1">
      <c r="A52" s="28" t="s">
        <v>697</v>
      </c>
      <c r="B52" s="29" t="s">
        <v>698</v>
      </c>
      <c r="C52" s="29" t="s">
        <v>39</v>
      </c>
      <c r="D52" s="29" t="s">
        <v>699</v>
      </c>
      <c r="E52" s="29" t="e">
        <f>VRE_Share0 + (VRE_ShareT-VRE_Share0)/25*t</f>
        <v>#NAME?</v>
      </c>
    </row>
    <row r="53" spans="1:6" ht="60" customHeight="1">
      <c r="A53" s="30" t="s">
        <v>700</v>
      </c>
      <c r="B53" s="31" t="s">
        <v>701</v>
      </c>
      <c r="C53" s="31" t="s">
        <v>371</v>
      </c>
      <c r="D53" s="31" t="s">
        <v>702</v>
      </c>
      <c r="E53" s="31" t="e">
        <f>IF(active, MAX(0, shortfall_TWh - pipelines) / (CFe*8760) * RE_Cov, 0)</f>
        <v>#NAME?</v>
      </c>
    </row>
    <row r="54" spans="1:6" ht="24" customHeight="1">
      <c r="A54" s="28" t="s">
        <v>703</v>
      </c>
      <c r="B54" s="29" t="s">
        <v>704</v>
      </c>
      <c r="C54" s="29" t="s">
        <v>26</v>
      </c>
      <c r="D54" s="29" t="s">
        <v>705</v>
      </c>
      <c r="E54" s="29" t="e">
        <f ca="1">MAX(0, R9 - (R16+R19+LAG3(R46)+LAG3(R68)+R23*ELCC+Other_Firm))</f>
        <v>#REF!</v>
      </c>
    </row>
    <row r="55" spans="1:6" ht="48" customHeight="1">
      <c r="A55" s="30" t="s">
        <v>706</v>
      </c>
      <c r="B55" s="31" t="s">
        <v>707</v>
      </c>
      <c r="C55" s="31" t="s">
        <v>371</v>
      </c>
      <c r="D55" s="31" t="s">
        <v>708</v>
      </c>
      <c r="E55" s="31" t="e">
        <f>IF(active, MAX(0, gap - priv_pipe - ESEM_pipe)*Firm_Cov, 0)</f>
        <v>#NAME?</v>
      </c>
    </row>
    <row r="57" spans="1:6">
      <c r="A57" s="110" t="s">
        <v>709</v>
      </c>
      <c r="B57" s="102"/>
      <c r="C57" s="102"/>
      <c r="D57" s="102"/>
      <c r="E57" s="102"/>
      <c r="F57" s="102"/>
    </row>
    <row r="58" spans="1:6">
      <c r="A58" s="27" t="s">
        <v>599</v>
      </c>
      <c r="B58" s="27" t="s">
        <v>600</v>
      </c>
      <c r="C58" s="27" t="s">
        <v>601</v>
      </c>
      <c r="D58" s="27" t="s">
        <v>2</v>
      </c>
      <c r="E58" s="27" t="s">
        <v>602</v>
      </c>
    </row>
    <row r="59" spans="1:6" ht="36" customHeight="1">
      <c r="A59" s="30" t="s">
        <v>710</v>
      </c>
      <c r="B59" s="31" t="s">
        <v>711</v>
      </c>
      <c r="C59" s="31" t="s">
        <v>26</v>
      </c>
      <c r="D59" s="31" t="s">
        <v>712</v>
      </c>
      <c r="E59" s="31" t="e">
        <f>prev*(1-VRE_Dep) + R35</f>
        <v>#NAME?</v>
      </c>
    </row>
    <row r="60" spans="1:6" ht="24" customHeight="1">
      <c r="A60" s="28" t="s">
        <v>713</v>
      </c>
      <c r="B60" s="29" t="s">
        <v>714</v>
      </c>
      <c r="C60" s="29" t="s">
        <v>26</v>
      </c>
      <c r="D60" s="29" t="s">
        <v>715</v>
      </c>
      <c r="E60" s="29"/>
    </row>
    <row r="61" spans="1:6" ht="36" customHeight="1">
      <c r="A61" s="30" t="s">
        <v>716</v>
      </c>
      <c r="B61" s="31" t="s">
        <v>717</v>
      </c>
      <c r="C61" s="31" t="s">
        <v>26</v>
      </c>
      <c r="D61" s="31" t="s">
        <v>718</v>
      </c>
      <c r="E61" s="31" t="e">
        <f>prev*(1-VRE_Dep) + R39</f>
        <v>#NAME?</v>
      </c>
    </row>
    <row r="62" spans="1:6" ht="36" customHeight="1">
      <c r="A62" s="28" t="s">
        <v>719</v>
      </c>
      <c r="B62" s="29" t="s">
        <v>720</v>
      </c>
      <c r="C62" s="29" t="s">
        <v>26</v>
      </c>
      <c r="D62" s="29" t="s">
        <v>721</v>
      </c>
      <c r="E62" s="29" t="e">
        <f>prev*(1-Firm_Dep_New) + R41</f>
        <v>#NAME?</v>
      </c>
    </row>
    <row r="64" spans="1:6">
      <c r="A64" s="110" t="s">
        <v>722</v>
      </c>
      <c r="B64" s="102"/>
      <c r="C64" s="102"/>
      <c r="D64" s="102"/>
      <c r="E64" s="102"/>
      <c r="F64" s="102"/>
    </row>
    <row r="65" spans="1:6">
      <c r="A65" s="27" t="s">
        <v>599</v>
      </c>
      <c r="B65" s="27" t="s">
        <v>600</v>
      </c>
      <c r="C65" s="27" t="s">
        <v>601</v>
      </c>
      <c r="D65" s="27" t="s">
        <v>2</v>
      </c>
      <c r="E65" s="27" t="s">
        <v>602</v>
      </c>
    </row>
    <row r="66" spans="1:6" ht="60" customHeight="1">
      <c r="A66" s="28" t="s">
        <v>723</v>
      </c>
      <c r="B66" s="29" t="s">
        <v>724</v>
      </c>
      <c r="C66" s="29" t="s">
        <v>26</v>
      </c>
      <c r="D66" s="29" t="s">
        <v>725</v>
      </c>
      <c r="E66" s="29" t="e">
        <f>MAX(0, prev*(1-Divest_Rate) + lag6_R39_cohort)</f>
        <v>#NAME?</v>
      </c>
    </row>
    <row r="67" spans="1:6" ht="24" customHeight="1">
      <c r="A67" s="30" t="s">
        <v>726</v>
      </c>
      <c r="B67" s="31" t="s">
        <v>727</v>
      </c>
      <c r="C67" s="31" t="s">
        <v>26</v>
      </c>
      <c r="D67" s="31" t="s">
        <v>728</v>
      </c>
      <c r="E67" s="31" t="e">
        <f>MAX(0, prev*(1-Divest_Rate) + lag6_R41_cohort)</f>
        <v>#NAME?</v>
      </c>
    </row>
    <row r="68" spans="1:6" ht="36" customHeight="1">
      <c r="A68" s="28" t="s">
        <v>729</v>
      </c>
      <c r="B68" s="29" t="s">
        <v>730</v>
      </c>
      <c r="C68" s="29" t="s">
        <v>44</v>
      </c>
      <c r="D68" s="29" t="s">
        <v>731</v>
      </c>
      <c r="E68" s="29" t="e">
        <f>R22  #REF!</f>
        <v>#REF!</v>
      </c>
    </row>
    <row r="69" spans="1:6" ht="24" customHeight="1">
      <c r="A69" s="30" t="s">
        <v>732</v>
      </c>
      <c r="B69" s="31" t="s">
        <v>733</v>
      </c>
      <c r="C69" s="31" t="s">
        <v>44</v>
      </c>
      <c r="D69" s="31" t="s">
        <v>734</v>
      </c>
      <c r="E69" s="31" t="e">
        <f>R17  #REF!</f>
        <v>#REF!</v>
      </c>
    </row>
    <row r="70" spans="1:6" ht="24" customHeight="1">
      <c r="A70" s="28" t="s">
        <v>735</v>
      </c>
      <c r="B70" s="29" t="s">
        <v>736</v>
      </c>
      <c r="C70" s="29" t="s">
        <v>26</v>
      </c>
      <c r="D70" s="29" t="s">
        <v>737</v>
      </c>
      <c r="E70" s="29" t="e">
        <f>Divest_Rate * prev_R48</f>
        <v>#NAME?</v>
      </c>
    </row>
    <row r="71" spans="1:6">
      <c r="A71" s="30" t="s">
        <v>738</v>
      </c>
      <c r="B71" s="31" t="s">
        <v>739</v>
      </c>
      <c r="C71" s="31" t="s">
        <v>26</v>
      </c>
      <c r="D71" s="31" t="s">
        <v>740</v>
      </c>
      <c r="E71" s="31" t="e">
        <f>Divest_Rate * prev_R49</f>
        <v>#NAME?</v>
      </c>
    </row>
    <row r="72" spans="1:6" ht="24" customHeight="1">
      <c r="A72" s="28" t="s">
        <v>741</v>
      </c>
      <c r="B72" s="29" t="s">
        <v>742</v>
      </c>
      <c r="C72" s="29" t="s">
        <v>39</v>
      </c>
      <c r="D72" s="29" t="s">
        <v>743</v>
      </c>
      <c r="E72" s="29" t="s">
        <v>744</v>
      </c>
    </row>
    <row r="74" spans="1:6">
      <c r="A74" s="110" t="s">
        <v>745</v>
      </c>
      <c r="B74" s="102"/>
      <c r="C74" s="102"/>
      <c r="D74" s="102"/>
      <c r="E74" s="102"/>
      <c r="F74" s="102"/>
    </row>
    <row r="75" spans="1:6">
      <c r="A75" s="27" t="s">
        <v>599</v>
      </c>
      <c r="B75" s="27" t="s">
        <v>600</v>
      </c>
      <c r="C75" s="27" t="s">
        <v>601</v>
      </c>
      <c r="D75" s="27" t="s">
        <v>2</v>
      </c>
      <c r="E75" s="27" t="s">
        <v>602</v>
      </c>
    </row>
    <row r="76" spans="1:6" ht="36" customHeight="1">
      <c r="A76" s="28" t="s">
        <v>746</v>
      </c>
      <c r="B76" s="29" t="s">
        <v>747</v>
      </c>
      <c r="C76" s="29" t="s">
        <v>392</v>
      </c>
      <c r="D76" s="29" t="s">
        <v>748</v>
      </c>
      <c r="E76" s="29">
        <f>(R50 - R27) * R48 * VRE_CFe * 8760</f>
        <v>0</v>
      </c>
    </row>
    <row r="77" spans="1:6" ht="36" customHeight="1">
      <c r="A77" s="30" t="s">
        <v>749</v>
      </c>
      <c r="B77" s="31" t="s">
        <v>750</v>
      </c>
      <c r="C77" s="31" t="s">
        <v>392</v>
      </c>
      <c r="D77" s="31" t="s">
        <v>751</v>
      </c>
      <c r="E77" s="31"/>
    </row>
    <row r="78" spans="1:6" ht="48" customHeight="1">
      <c r="A78" s="28" t="s">
        <v>752</v>
      </c>
      <c r="B78" s="29" t="s">
        <v>753</v>
      </c>
      <c r="C78" s="29" t="s">
        <v>392</v>
      </c>
      <c r="D78" s="29" t="s">
        <v>754</v>
      </c>
      <c r="E78" s="29" t="e">
        <f>(R22-R30)*R52*CFe*8760 + (R17-R27)*R53*Firm_CFe*8760</f>
        <v>#NAME?</v>
      </c>
    </row>
    <row r="79" spans="1:6" ht="48" customHeight="1">
      <c r="A79" s="30" t="s">
        <v>755</v>
      </c>
      <c r="B79" s="31" t="s">
        <v>756</v>
      </c>
      <c r="C79" s="31" t="s">
        <v>392</v>
      </c>
      <c r="D79" s="31" t="s">
        <v>757</v>
      </c>
      <c r="E79" s="31" t="e">
        <f>IF(active, R56+R57+R58+Admin_Cost, 0)</f>
        <v>#NAME?</v>
      </c>
    </row>
    <row r="80" spans="1:6" ht="36" customHeight="1">
      <c r="A80" s="28" t="s">
        <v>758</v>
      </c>
      <c r="B80" s="29" t="s">
        <v>759</v>
      </c>
      <c r="C80" s="29" t="s">
        <v>408</v>
      </c>
      <c r="D80" s="29" t="s">
        <v>760</v>
      </c>
      <c r="E80" s="29" t="e">
        <f>prev + R59/1000</f>
        <v>#NAME?</v>
      </c>
    </row>
    <row r="81" spans="1:6" ht="24" customHeight="1">
      <c r="A81" s="30" t="s">
        <v>761</v>
      </c>
      <c r="B81" s="31" t="s">
        <v>474</v>
      </c>
      <c r="C81" s="31" t="s">
        <v>44</v>
      </c>
      <c r="D81" s="31" t="s">
        <v>762</v>
      </c>
      <c r="E81" s="31" t="e">
        <f>R59 / R7</f>
        <v>#DIV/0!</v>
      </c>
    </row>
    <row r="82" spans="1:6" ht="48" customHeight="1">
      <c r="A82" s="28" t="s">
        <v>763</v>
      </c>
      <c r="B82" s="29" t="s">
        <v>764</v>
      </c>
      <c r="C82" s="29" t="s">
        <v>44</v>
      </c>
      <c r="D82" s="29" t="s">
        <v>765</v>
      </c>
      <c r="E82" s="29">
        <f>R27 + R61</f>
        <v>0</v>
      </c>
    </row>
    <row r="84" spans="1:6">
      <c r="A84" s="110" t="s">
        <v>766</v>
      </c>
      <c r="B84" s="102"/>
      <c r="C84" s="102"/>
      <c r="D84" s="102"/>
      <c r="E84" s="102"/>
      <c r="F84" s="102"/>
    </row>
    <row r="85" spans="1:6">
      <c r="A85" s="27" t="s">
        <v>599</v>
      </c>
      <c r="B85" s="27" t="s">
        <v>600</v>
      </c>
      <c r="C85" s="27" t="s">
        <v>601</v>
      </c>
      <c r="D85" s="27" t="s">
        <v>2</v>
      </c>
      <c r="E85" s="27" t="s">
        <v>602</v>
      </c>
    </row>
    <row r="86" spans="1:6" ht="24" customHeight="1">
      <c r="A86" s="28" t="s">
        <v>767</v>
      </c>
      <c r="B86" s="29" t="s">
        <v>768</v>
      </c>
      <c r="C86" s="29" t="s">
        <v>392</v>
      </c>
      <c r="D86" s="29" t="s">
        <v>769</v>
      </c>
      <c r="E86" s="29"/>
    </row>
    <row r="87" spans="1:6">
      <c r="A87" s="30" t="s">
        <v>770</v>
      </c>
      <c r="B87" s="31" t="s">
        <v>771</v>
      </c>
      <c r="C87" s="31" t="s">
        <v>39</v>
      </c>
      <c r="D87" s="31"/>
      <c r="E87" s="31" t="e">
        <f>R27/R22</f>
        <v>#DIV/0!</v>
      </c>
    </row>
    <row r="88" spans="1:6" ht="24" customHeight="1">
      <c r="A88" s="28" t="s">
        <v>772</v>
      </c>
      <c r="B88" s="29" t="s">
        <v>773</v>
      </c>
      <c r="C88" s="29" t="s">
        <v>39</v>
      </c>
      <c r="D88" s="29" t="s">
        <v>774</v>
      </c>
      <c r="E88" s="29" t="e">
        <f>(R45+R46)/total_capacity</f>
        <v>#NAME?</v>
      </c>
    </row>
    <row r="89" spans="1:6">
      <c r="A89" s="30" t="s">
        <v>775</v>
      </c>
      <c r="B89" s="31" t="s">
        <v>776</v>
      </c>
      <c r="C89" s="31" t="s">
        <v>18</v>
      </c>
      <c r="D89" s="31" t="e">
        <f xml:space="preserve"> R15. Echo for chart use.</f>
        <v>#NAME?</v>
      </c>
      <c r="E89" s="31">
        <f>R15</f>
        <v>0</v>
      </c>
    </row>
    <row r="90" spans="1:6">
      <c r="A90" s="28" t="s">
        <v>777</v>
      </c>
      <c r="B90" s="29" t="s">
        <v>778</v>
      </c>
      <c r="C90" s="29" t="s">
        <v>44</v>
      </c>
      <c r="D90" s="29" t="e">
        <f xml:space="preserve"> R27. Echo for chart use.</f>
        <v>#NAME?</v>
      </c>
      <c r="E90" s="29">
        <f>R27</f>
        <v>0</v>
      </c>
    </row>
    <row r="91" spans="1:6" ht="36" customHeight="1">
      <c r="A91" s="30" t="s">
        <v>779</v>
      </c>
      <c r="B91" s="31" t="s">
        <v>780</v>
      </c>
      <c r="C91" s="31" t="s">
        <v>26</v>
      </c>
      <c r="D91" s="31" t="s">
        <v>781</v>
      </c>
      <c r="E91" s="31" t="e">
        <f>prev*(1-Firm_Dep_New) + R36</f>
        <v>#NAME?</v>
      </c>
    </row>
    <row r="93" spans="1:6" ht="19.899999999999999" customHeight="1">
      <c r="A93" s="111" t="s">
        <v>782</v>
      </c>
      <c r="B93" s="102"/>
      <c r="C93" s="102"/>
      <c r="D93" s="102"/>
      <c r="E93" s="102"/>
      <c r="F93" s="102"/>
    </row>
    <row r="94" spans="1:6" ht="40.15" customHeight="1">
      <c r="A94" s="113" t="s">
        <v>783</v>
      </c>
      <c r="B94" s="102"/>
      <c r="C94" s="102"/>
      <c r="D94" s="102"/>
      <c r="E94" s="102"/>
      <c r="F94" s="102"/>
    </row>
  </sheetData>
  <mergeCells count="14">
    <mergeCell ref="A1:F1"/>
    <mergeCell ref="A94:F94"/>
    <mergeCell ref="A64:F64"/>
    <mergeCell ref="A74:F74"/>
    <mergeCell ref="A22:F22"/>
    <mergeCell ref="A35:F35"/>
    <mergeCell ref="A4:F4"/>
    <mergeCell ref="A29:F29"/>
    <mergeCell ref="A57:F57"/>
    <mergeCell ref="A2:F2"/>
    <mergeCell ref="A47:F47"/>
    <mergeCell ref="A84:F84"/>
    <mergeCell ref="A13:F13"/>
    <mergeCell ref="A93:F93"/>
  </mergeCells>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89"/>
  <sheetViews>
    <sheetView workbookViewId="0">
      <selection activeCell="E25" sqref="E25"/>
    </sheetView>
  </sheetViews>
  <sheetFormatPr defaultRowHeight="15"/>
  <cols>
    <col min="1" max="1" width="45" customWidth="1"/>
    <col min="2" max="2" width="8" customWidth="1"/>
    <col min="3" max="9" width="18" customWidth="1"/>
  </cols>
  <sheetData>
    <row r="1" spans="1:9" ht="18" customHeight="1">
      <c r="A1" s="42" t="s">
        <v>784</v>
      </c>
    </row>
    <row r="2" spans="1:9">
      <c r="A2" t="s">
        <v>785</v>
      </c>
    </row>
    <row r="4" spans="1:9">
      <c r="A4" s="40" t="s">
        <v>13</v>
      </c>
      <c r="B4" s="40" t="s">
        <v>562</v>
      </c>
      <c r="C4" s="40" t="s">
        <v>216</v>
      </c>
      <c r="D4" s="40" t="s">
        <v>217</v>
      </c>
      <c r="E4" s="40" t="s">
        <v>218</v>
      </c>
      <c r="F4" s="40" t="s">
        <v>219</v>
      </c>
      <c r="G4" s="40" t="s">
        <v>786</v>
      </c>
      <c r="H4" s="40" t="s">
        <v>787</v>
      </c>
      <c r="I4" s="40" t="s">
        <v>788</v>
      </c>
    </row>
    <row r="5" spans="1:9">
      <c r="A5" t="s">
        <v>789</v>
      </c>
      <c r="B5" t="s">
        <v>790</v>
      </c>
      <c r="C5">
        <v>0.8</v>
      </c>
      <c r="D5">
        <v>0</v>
      </c>
      <c r="E5">
        <v>0.1</v>
      </c>
      <c r="F5">
        <v>0.1</v>
      </c>
      <c r="G5">
        <v>2</v>
      </c>
      <c r="H5">
        <v>0.94669999999999999</v>
      </c>
      <c r="I5">
        <v>131.47999999999999</v>
      </c>
    </row>
    <row r="6" spans="1:9">
      <c r="A6" t="s">
        <v>789</v>
      </c>
      <c r="B6" t="s">
        <v>791</v>
      </c>
      <c r="C6">
        <v>0.8</v>
      </c>
      <c r="D6">
        <v>0</v>
      </c>
      <c r="E6">
        <v>0.1</v>
      </c>
      <c r="F6">
        <v>0.1</v>
      </c>
      <c r="G6">
        <v>2</v>
      </c>
      <c r="H6">
        <v>0.94669999999999999</v>
      </c>
      <c r="I6">
        <v>114.65</v>
      </c>
    </row>
    <row r="7" spans="1:9">
      <c r="A7" t="s">
        <v>789</v>
      </c>
      <c r="B7" t="s">
        <v>792</v>
      </c>
      <c r="C7">
        <v>0.8</v>
      </c>
      <c r="D7">
        <v>0</v>
      </c>
      <c r="E7">
        <v>0.1</v>
      </c>
      <c r="F7">
        <v>0.1</v>
      </c>
      <c r="G7">
        <v>2</v>
      </c>
      <c r="H7">
        <v>0.94669999999999999</v>
      </c>
      <c r="I7">
        <v>100.97</v>
      </c>
    </row>
    <row r="8" spans="1:9">
      <c r="A8" t="s">
        <v>789</v>
      </c>
      <c r="B8" t="s">
        <v>793</v>
      </c>
      <c r="C8">
        <v>0.8</v>
      </c>
      <c r="D8">
        <v>0</v>
      </c>
      <c r="E8">
        <v>0.1</v>
      </c>
      <c r="F8">
        <v>0.1</v>
      </c>
      <c r="G8">
        <v>2</v>
      </c>
      <c r="H8">
        <v>0.94669999999999999</v>
      </c>
      <c r="I8">
        <v>94.73</v>
      </c>
    </row>
    <row r="9" spans="1:9">
      <c r="A9" t="s">
        <v>789</v>
      </c>
      <c r="B9" t="s">
        <v>794</v>
      </c>
      <c r="C9">
        <v>0.8</v>
      </c>
      <c r="D9">
        <v>0</v>
      </c>
      <c r="E9">
        <v>0.1</v>
      </c>
      <c r="F9">
        <v>0.1</v>
      </c>
      <c r="G9">
        <v>2</v>
      </c>
      <c r="H9">
        <v>0.94669999999999999</v>
      </c>
      <c r="I9">
        <v>94.13</v>
      </c>
    </row>
    <row r="10" spans="1:9">
      <c r="A10" t="s">
        <v>795</v>
      </c>
      <c r="B10" t="s">
        <v>790</v>
      </c>
      <c r="C10">
        <v>0.7</v>
      </c>
      <c r="D10">
        <v>0.05</v>
      </c>
      <c r="E10">
        <v>0.05</v>
      </c>
      <c r="F10">
        <v>0.2</v>
      </c>
      <c r="G10">
        <v>2.6</v>
      </c>
      <c r="H10">
        <v>0.91149999999999998</v>
      </c>
      <c r="I10">
        <v>131.38</v>
      </c>
    </row>
    <row r="11" spans="1:9">
      <c r="A11" t="s">
        <v>795</v>
      </c>
      <c r="B11" t="s">
        <v>791</v>
      </c>
      <c r="C11">
        <v>0.7</v>
      </c>
      <c r="D11">
        <v>0.05</v>
      </c>
      <c r="E11">
        <v>0.05</v>
      </c>
      <c r="F11">
        <v>0.2</v>
      </c>
      <c r="G11">
        <v>2.6</v>
      </c>
      <c r="H11">
        <v>0.91149999999999998</v>
      </c>
      <c r="I11">
        <v>114.07</v>
      </c>
    </row>
    <row r="12" spans="1:9">
      <c r="A12" t="s">
        <v>795</v>
      </c>
      <c r="B12" t="s">
        <v>792</v>
      </c>
      <c r="C12">
        <v>0.7</v>
      </c>
      <c r="D12">
        <v>0.05</v>
      </c>
      <c r="E12">
        <v>0.05</v>
      </c>
      <c r="F12">
        <v>0.2</v>
      </c>
      <c r="G12">
        <v>2.6</v>
      </c>
      <c r="H12">
        <v>0.91149999999999998</v>
      </c>
      <c r="I12">
        <v>100.34</v>
      </c>
    </row>
    <row r="13" spans="1:9">
      <c r="A13" t="s">
        <v>795</v>
      </c>
      <c r="B13" t="s">
        <v>793</v>
      </c>
      <c r="C13">
        <v>0.7</v>
      </c>
      <c r="D13">
        <v>0.05</v>
      </c>
      <c r="E13">
        <v>0.05</v>
      </c>
      <c r="F13">
        <v>0.2</v>
      </c>
      <c r="G13">
        <v>2.6</v>
      </c>
      <c r="H13">
        <v>0.91149999999999998</v>
      </c>
      <c r="I13">
        <v>93.81</v>
      </c>
    </row>
    <row r="14" spans="1:9">
      <c r="A14" t="s">
        <v>795</v>
      </c>
      <c r="B14" t="s">
        <v>794</v>
      </c>
      <c r="C14">
        <v>0.7</v>
      </c>
      <c r="D14">
        <v>0.05</v>
      </c>
      <c r="E14">
        <v>0.05</v>
      </c>
      <c r="F14">
        <v>0.2</v>
      </c>
      <c r="G14">
        <v>2.6</v>
      </c>
      <c r="H14">
        <v>0.91149999999999998</v>
      </c>
      <c r="I14">
        <v>93.11</v>
      </c>
    </row>
    <row r="15" spans="1:9">
      <c r="A15" t="s">
        <v>796</v>
      </c>
      <c r="B15" t="s">
        <v>790</v>
      </c>
      <c r="C15">
        <v>0.6</v>
      </c>
      <c r="D15">
        <v>0.1</v>
      </c>
      <c r="E15">
        <v>0</v>
      </c>
      <c r="F15">
        <v>0.3</v>
      </c>
      <c r="G15">
        <v>3.2</v>
      </c>
      <c r="H15">
        <v>0.87639999999999996</v>
      </c>
      <c r="I15">
        <v>131.26</v>
      </c>
    </row>
    <row r="16" spans="1:9">
      <c r="A16" t="s">
        <v>796</v>
      </c>
      <c r="B16" t="s">
        <v>791</v>
      </c>
      <c r="C16">
        <v>0.6</v>
      </c>
      <c r="D16">
        <v>0.1</v>
      </c>
      <c r="E16">
        <v>0</v>
      </c>
      <c r="F16">
        <v>0.3</v>
      </c>
      <c r="G16">
        <v>3.2</v>
      </c>
      <c r="H16">
        <v>0.87639999999999996</v>
      </c>
      <c r="I16">
        <v>113.44</v>
      </c>
    </row>
    <row r="17" spans="1:9">
      <c r="A17" t="s">
        <v>796</v>
      </c>
      <c r="B17" t="s">
        <v>792</v>
      </c>
      <c r="C17">
        <v>0.6</v>
      </c>
      <c r="D17">
        <v>0.1</v>
      </c>
      <c r="E17">
        <v>0</v>
      </c>
      <c r="F17">
        <v>0.3</v>
      </c>
      <c r="G17">
        <v>3.2</v>
      </c>
      <c r="H17">
        <v>0.87639999999999996</v>
      </c>
      <c r="I17">
        <v>99.66</v>
      </c>
    </row>
    <row r="18" spans="1:9">
      <c r="A18" t="s">
        <v>796</v>
      </c>
      <c r="B18" t="s">
        <v>793</v>
      </c>
      <c r="C18">
        <v>0.6</v>
      </c>
      <c r="D18">
        <v>0.1</v>
      </c>
      <c r="E18">
        <v>0</v>
      </c>
      <c r="F18">
        <v>0.3</v>
      </c>
      <c r="G18">
        <v>3.2</v>
      </c>
      <c r="H18">
        <v>0.87639999999999996</v>
      </c>
      <c r="I18">
        <v>92.81</v>
      </c>
    </row>
    <row r="19" spans="1:9">
      <c r="A19" t="s">
        <v>796</v>
      </c>
      <c r="B19" t="s">
        <v>794</v>
      </c>
      <c r="C19">
        <v>0.6</v>
      </c>
      <c r="D19">
        <v>0.1</v>
      </c>
      <c r="E19">
        <v>0</v>
      </c>
      <c r="F19">
        <v>0.3</v>
      </c>
      <c r="G19">
        <v>3.2</v>
      </c>
      <c r="H19">
        <v>0.87639999999999996</v>
      </c>
      <c r="I19">
        <v>92.02</v>
      </c>
    </row>
    <row r="20" spans="1:9">
      <c r="A20" t="s">
        <v>797</v>
      </c>
      <c r="B20" t="s">
        <v>790</v>
      </c>
      <c r="C20">
        <v>0.6</v>
      </c>
      <c r="D20">
        <v>0</v>
      </c>
      <c r="E20">
        <v>0</v>
      </c>
      <c r="F20">
        <v>0.4</v>
      </c>
      <c r="G20">
        <v>3.8</v>
      </c>
      <c r="H20">
        <v>0.84119999999999995</v>
      </c>
      <c r="I20">
        <v>131.08000000000001</v>
      </c>
    </row>
    <row r="21" spans="1:9">
      <c r="A21" t="s">
        <v>797</v>
      </c>
      <c r="B21" t="s">
        <v>791</v>
      </c>
      <c r="C21">
        <v>0.6</v>
      </c>
      <c r="D21">
        <v>0</v>
      </c>
      <c r="E21">
        <v>0</v>
      </c>
      <c r="F21">
        <v>0.4</v>
      </c>
      <c r="G21">
        <v>3.8</v>
      </c>
      <c r="H21">
        <v>0.84119999999999995</v>
      </c>
      <c r="I21">
        <v>112.71</v>
      </c>
    </row>
    <row r="22" spans="1:9">
      <c r="A22" t="s">
        <v>797</v>
      </c>
      <c r="B22" t="s">
        <v>792</v>
      </c>
      <c r="C22">
        <v>0.6</v>
      </c>
      <c r="D22">
        <v>0</v>
      </c>
      <c r="E22">
        <v>0</v>
      </c>
      <c r="F22">
        <v>0.4</v>
      </c>
      <c r="G22">
        <v>3.8</v>
      </c>
      <c r="H22">
        <v>0.84119999999999995</v>
      </c>
      <c r="I22">
        <v>98.88</v>
      </c>
    </row>
    <row r="23" spans="1:9">
      <c r="A23" t="s">
        <v>797</v>
      </c>
      <c r="B23" t="s">
        <v>793</v>
      </c>
      <c r="C23">
        <v>0.6</v>
      </c>
      <c r="D23">
        <v>0</v>
      </c>
      <c r="E23">
        <v>0</v>
      </c>
      <c r="F23">
        <v>0.4</v>
      </c>
      <c r="G23">
        <v>3.8</v>
      </c>
      <c r="H23">
        <v>0.84119999999999995</v>
      </c>
      <c r="I23">
        <v>91.7</v>
      </c>
    </row>
    <row r="24" spans="1:9">
      <c r="A24" t="s">
        <v>797</v>
      </c>
      <c r="B24" t="s">
        <v>794</v>
      </c>
      <c r="C24">
        <v>0.6</v>
      </c>
      <c r="D24">
        <v>0</v>
      </c>
      <c r="E24">
        <v>0</v>
      </c>
      <c r="F24">
        <v>0.4</v>
      </c>
      <c r="G24">
        <v>3.8</v>
      </c>
      <c r="H24">
        <v>0.84119999999999995</v>
      </c>
      <c r="I24">
        <v>90.8</v>
      </c>
    </row>
    <row r="25" spans="1:9">
      <c r="A25" t="s">
        <v>798</v>
      </c>
      <c r="B25" t="s">
        <v>790</v>
      </c>
      <c r="C25">
        <v>0.4</v>
      </c>
      <c r="D25">
        <v>0.1</v>
      </c>
      <c r="E25">
        <v>0.05</v>
      </c>
      <c r="F25">
        <v>0.45</v>
      </c>
      <c r="G25">
        <v>4.4000000000000004</v>
      </c>
      <c r="H25">
        <v>0.80600000000000005</v>
      </c>
      <c r="I25">
        <v>131.05000000000001</v>
      </c>
    </row>
    <row r="26" spans="1:9">
      <c r="A26" t="s">
        <v>798</v>
      </c>
      <c r="B26" t="s">
        <v>791</v>
      </c>
      <c r="C26">
        <v>0.4</v>
      </c>
      <c r="D26">
        <v>0.1</v>
      </c>
      <c r="E26">
        <v>0.05</v>
      </c>
      <c r="F26">
        <v>0.45</v>
      </c>
      <c r="G26">
        <v>4.4000000000000004</v>
      </c>
      <c r="H26">
        <v>0.80600000000000005</v>
      </c>
      <c r="I26">
        <v>112.07</v>
      </c>
    </row>
    <row r="27" spans="1:9">
      <c r="A27" t="s">
        <v>798</v>
      </c>
      <c r="B27" t="s">
        <v>792</v>
      </c>
      <c r="C27">
        <v>0.4</v>
      </c>
      <c r="D27">
        <v>0.1</v>
      </c>
      <c r="E27">
        <v>0.05</v>
      </c>
      <c r="F27">
        <v>0.45</v>
      </c>
      <c r="G27">
        <v>4.4000000000000004</v>
      </c>
      <c r="H27">
        <v>0.80600000000000005</v>
      </c>
      <c r="I27">
        <v>98.16</v>
      </c>
    </row>
    <row r="28" spans="1:9">
      <c r="A28" t="s">
        <v>798</v>
      </c>
      <c r="B28" t="s">
        <v>793</v>
      </c>
      <c r="C28">
        <v>0.4</v>
      </c>
      <c r="D28">
        <v>0.1</v>
      </c>
      <c r="E28">
        <v>0.05</v>
      </c>
      <c r="F28">
        <v>0.45</v>
      </c>
      <c r="G28">
        <v>4.4000000000000004</v>
      </c>
      <c r="H28">
        <v>0.80600000000000005</v>
      </c>
      <c r="I28">
        <v>90.59</v>
      </c>
    </row>
    <row r="29" spans="1:9">
      <c r="A29" t="s">
        <v>798</v>
      </c>
      <c r="B29" t="s">
        <v>794</v>
      </c>
      <c r="C29">
        <v>0.4</v>
      </c>
      <c r="D29">
        <v>0.1</v>
      </c>
      <c r="E29">
        <v>0.05</v>
      </c>
      <c r="F29">
        <v>0.45</v>
      </c>
      <c r="G29">
        <v>4.4000000000000004</v>
      </c>
      <c r="H29">
        <v>0.80600000000000005</v>
      </c>
      <c r="I29">
        <v>89.58</v>
      </c>
    </row>
    <row r="30" spans="1:9">
      <c r="A30" t="s">
        <v>799</v>
      </c>
      <c r="B30" t="s">
        <v>790</v>
      </c>
      <c r="C30">
        <v>0.4</v>
      </c>
      <c r="D30">
        <v>0</v>
      </c>
      <c r="E30">
        <v>0.05</v>
      </c>
      <c r="F30">
        <v>0.55000000000000004</v>
      </c>
      <c r="G30">
        <v>5</v>
      </c>
      <c r="H30">
        <v>0.77090000000000003</v>
      </c>
      <c r="I30">
        <v>130.85</v>
      </c>
    </row>
    <row r="31" spans="1:9">
      <c r="A31" t="s">
        <v>799</v>
      </c>
      <c r="B31" t="s">
        <v>791</v>
      </c>
      <c r="C31">
        <v>0.4</v>
      </c>
      <c r="D31">
        <v>0</v>
      </c>
      <c r="E31">
        <v>0.05</v>
      </c>
      <c r="F31">
        <v>0.55000000000000004</v>
      </c>
      <c r="G31">
        <v>5</v>
      </c>
      <c r="H31">
        <v>0.77090000000000003</v>
      </c>
      <c r="I31">
        <v>111.21</v>
      </c>
    </row>
    <row r="32" spans="1:9">
      <c r="A32" t="s">
        <v>799</v>
      </c>
      <c r="B32" t="s">
        <v>792</v>
      </c>
      <c r="C32">
        <v>0.4</v>
      </c>
      <c r="D32">
        <v>0</v>
      </c>
      <c r="E32">
        <v>0.05</v>
      </c>
      <c r="F32">
        <v>0.55000000000000004</v>
      </c>
      <c r="G32">
        <v>5</v>
      </c>
      <c r="H32">
        <v>0.77090000000000003</v>
      </c>
      <c r="I32">
        <v>97.24</v>
      </c>
    </row>
    <row r="33" spans="1:9">
      <c r="A33" t="s">
        <v>799</v>
      </c>
      <c r="B33" t="s">
        <v>793</v>
      </c>
      <c r="C33">
        <v>0.4</v>
      </c>
      <c r="D33">
        <v>0</v>
      </c>
      <c r="E33">
        <v>0.05</v>
      </c>
      <c r="F33">
        <v>0.55000000000000004</v>
      </c>
      <c r="G33">
        <v>5</v>
      </c>
      <c r="H33">
        <v>0.77090000000000003</v>
      </c>
      <c r="I33">
        <v>89.28</v>
      </c>
    </row>
    <row r="34" spans="1:9">
      <c r="A34" t="s">
        <v>799</v>
      </c>
      <c r="B34" t="s">
        <v>794</v>
      </c>
      <c r="C34">
        <v>0.4</v>
      </c>
      <c r="D34">
        <v>0</v>
      </c>
      <c r="E34">
        <v>0.05</v>
      </c>
      <c r="F34">
        <v>0.55000000000000004</v>
      </c>
      <c r="G34">
        <v>5</v>
      </c>
      <c r="H34">
        <v>0.77090000000000003</v>
      </c>
      <c r="I34">
        <v>88.14</v>
      </c>
    </row>
    <row r="35" spans="1:9">
      <c r="A35" t="s">
        <v>800</v>
      </c>
      <c r="B35" t="s">
        <v>790</v>
      </c>
      <c r="C35">
        <v>0.3</v>
      </c>
      <c r="D35">
        <v>0.05</v>
      </c>
      <c r="E35">
        <v>0</v>
      </c>
      <c r="F35">
        <v>0.65</v>
      </c>
      <c r="G35">
        <v>5.6</v>
      </c>
      <c r="H35">
        <v>0.73570000000000002</v>
      </c>
      <c r="I35">
        <v>130.69</v>
      </c>
    </row>
    <row r="36" spans="1:9">
      <c r="A36" t="s">
        <v>800</v>
      </c>
      <c r="B36" t="s">
        <v>791</v>
      </c>
      <c r="C36">
        <v>0.3</v>
      </c>
      <c r="D36">
        <v>0.05</v>
      </c>
      <c r="E36">
        <v>0</v>
      </c>
      <c r="F36">
        <v>0.65</v>
      </c>
      <c r="G36">
        <v>5.6</v>
      </c>
      <c r="H36">
        <v>0.73570000000000002</v>
      </c>
      <c r="I36">
        <v>110.33</v>
      </c>
    </row>
    <row r="37" spans="1:9">
      <c r="A37" t="s">
        <v>800</v>
      </c>
      <c r="B37" t="s">
        <v>792</v>
      </c>
      <c r="C37">
        <v>0.3</v>
      </c>
      <c r="D37">
        <v>0.05</v>
      </c>
      <c r="E37">
        <v>0</v>
      </c>
      <c r="F37">
        <v>0.65</v>
      </c>
      <c r="G37">
        <v>5.6</v>
      </c>
      <c r="H37">
        <v>0.73570000000000002</v>
      </c>
      <c r="I37">
        <v>96.28</v>
      </c>
    </row>
    <row r="38" spans="1:9">
      <c r="A38" t="s">
        <v>800</v>
      </c>
      <c r="B38" t="s">
        <v>793</v>
      </c>
      <c r="C38">
        <v>0.3</v>
      </c>
      <c r="D38">
        <v>0.05</v>
      </c>
      <c r="E38">
        <v>0</v>
      </c>
      <c r="F38">
        <v>0.65</v>
      </c>
      <c r="G38">
        <v>5.6</v>
      </c>
      <c r="H38">
        <v>0.73570000000000002</v>
      </c>
      <c r="I38">
        <v>87.87</v>
      </c>
    </row>
    <row r="39" spans="1:9">
      <c r="A39" t="s">
        <v>800</v>
      </c>
      <c r="B39" t="s">
        <v>794</v>
      </c>
      <c r="C39">
        <v>0.3</v>
      </c>
      <c r="D39">
        <v>0.05</v>
      </c>
      <c r="E39">
        <v>0</v>
      </c>
      <c r="F39">
        <v>0.65</v>
      </c>
      <c r="G39">
        <v>5.6</v>
      </c>
      <c r="H39">
        <v>0.73570000000000002</v>
      </c>
      <c r="I39">
        <v>86.59</v>
      </c>
    </row>
    <row r="40" spans="1:9">
      <c r="A40" t="s">
        <v>801</v>
      </c>
      <c r="B40" t="s">
        <v>790</v>
      </c>
      <c r="C40">
        <v>0.2</v>
      </c>
      <c r="D40">
        <v>0</v>
      </c>
      <c r="E40">
        <v>0.1</v>
      </c>
      <c r="F40">
        <v>0.7</v>
      </c>
      <c r="G40">
        <v>6.2</v>
      </c>
      <c r="H40">
        <v>0.70050000000000001</v>
      </c>
      <c r="I40">
        <v>130.57</v>
      </c>
    </row>
    <row r="41" spans="1:9">
      <c r="A41" t="s">
        <v>801</v>
      </c>
      <c r="B41" t="s">
        <v>791</v>
      </c>
      <c r="C41">
        <v>0.2</v>
      </c>
      <c r="D41">
        <v>0</v>
      </c>
      <c r="E41">
        <v>0.1</v>
      </c>
      <c r="F41">
        <v>0.7</v>
      </c>
      <c r="G41">
        <v>6.2</v>
      </c>
      <c r="H41">
        <v>0.70050000000000001</v>
      </c>
      <c r="I41">
        <v>109.41</v>
      </c>
    </row>
    <row r="42" spans="1:9">
      <c r="A42" t="s">
        <v>801</v>
      </c>
      <c r="B42" t="s">
        <v>792</v>
      </c>
      <c r="C42">
        <v>0.2</v>
      </c>
      <c r="D42">
        <v>0</v>
      </c>
      <c r="E42">
        <v>0.1</v>
      </c>
      <c r="F42">
        <v>0.7</v>
      </c>
      <c r="G42">
        <v>6.2</v>
      </c>
      <c r="H42">
        <v>0.70050000000000001</v>
      </c>
      <c r="I42">
        <v>95.26</v>
      </c>
    </row>
    <row r="43" spans="1:9">
      <c r="A43" t="s">
        <v>801</v>
      </c>
      <c r="B43" t="s">
        <v>793</v>
      </c>
      <c r="C43">
        <v>0.2</v>
      </c>
      <c r="D43">
        <v>0</v>
      </c>
      <c r="E43">
        <v>0.1</v>
      </c>
      <c r="F43">
        <v>0.7</v>
      </c>
      <c r="G43">
        <v>6.2</v>
      </c>
      <c r="H43">
        <v>0.70050000000000001</v>
      </c>
      <c r="I43">
        <v>86.37</v>
      </c>
    </row>
    <row r="44" spans="1:9">
      <c r="A44" t="s">
        <v>801</v>
      </c>
      <c r="B44" t="s">
        <v>794</v>
      </c>
      <c r="C44">
        <v>0.2</v>
      </c>
      <c r="D44">
        <v>0</v>
      </c>
      <c r="E44">
        <v>0.1</v>
      </c>
      <c r="F44">
        <v>0.7</v>
      </c>
      <c r="G44">
        <v>6.2</v>
      </c>
      <c r="H44">
        <v>0.70050000000000001</v>
      </c>
      <c r="I44">
        <v>84.94</v>
      </c>
    </row>
    <row r="45" spans="1:9">
      <c r="A45" t="s">
        <v>802</v>
      </c>
      <c r="B45" t="s">
        <v>790</v>
      </c>
      <c r="C45">
        <v>0.1</v>
      </c>
      <c r="D45">
        <v>0.05</v>
      </c>
      <c r="E45">
        <v>0.05</v>
      </c>
      <c r="F45">
        <v>0.8</v>
      </c>
      <c r="G45">
        <v>6.8</v>
      </c>
      <c r="H45">
        <v>0.66539999999999999</v>
      </c>
      <c r="I45">
        <v>130.37</v>
      </c>
    </row>
    <row r="46" spans="1:9">
      <c r="A46" t="s">
        <v>802</v>
      </c>
      <c r="B46" t="s">
        <v>791</v>
      </c>
      <c r="C46">
        <v>0.1</v>
      </c>
      <c r="D46">
        <v>0.05</v>
      </c>
      <c r="E46">
        <v>0.05</v>
      </c>
      <c r="F46">
        <v>0.8</v>
      </c>
      <c r="G46">
        <v>6.8</v>
      </c>
      <c r="H46">
        <v>0.66539999999999999</v>
      </c>
      <c r="I46">
        <v>108.33</v>
      </c>
    </row>
    <row r="47" spans="1:9">
      <c r="A47" t="s">
        <v>802</v>
      </c>
      <c r="B47" t="s">
        <v>792</v>
      </c>
      <c r="C47">
        <v>0.1</v>
      </c>
      <c r="D47">
        <v>0.05</v>
      </c>
      <c r="E47">
        <v>0.05</v>
      </c>
      <c r="F47">
        <v>0.8</v>
      </c>
      <c r="G47">
        <v>6.8</v>
      </c>
      <c r="H47">
        <v>0.66539999999999999</v>
      </c>
      <c r="I47">
        <v>94.1</v>
      </c>
    </row>
    <row r="48" spans="1:9">
      <c r="A48" t="s">
        <v>802</v>
      </c>
      <c r="B48" t="s">
        <v>793</v>
      </c>
      <c r="C48">
        <v>0.1</v>
      </c>
      <c r="D48">
        <v>0.05</v>
      </c>
      <c r="E48">
        <v>0.05</v>
      </c>
      <c r="F48">
        <v>0.8</v>
      </c>
      <c r="G48">
        <v>6.8</v>
      </c>
      <c r="H48">
        <v>0.66539999999999999</v>
      </c>
      <c r="I48">
        <v>84.67</v>
      </c>
    </row>
    <row r="49" spans="1:9">
      <c r="A49" t="s">
        <v>802</v>
      </c>
      <c r="B49" t="s">
        <v>794</v>
      </c>
      <c r="C49">
        <v>0.1</v>
      </c>
      <c r="D49">
        <v>0.05</v>
      </c>
      <c r="E49">
        <v>0.05</v>
      </c>
      <c r="F49">
        <v>0.8</v>
      </c>
      <c r="G49">
        <v>6.8</v>
      </c>
      <c r="H49">
        <v>0.66539999999999999</v>
      </c>
      <c r="I49">
        <v>83.06</v>
      </c>
    </row>
    <row r="50" spans="1:9">
      <c r="A50" t="s">
        <v>803</v>
      </c>
      <c r="B50" t="s">
        <v>790</v>
      </c>
      <c r="C50">
        <v>0</v>
      </c>
      <c r="D50">
        <v>0.1</v>
      </c>
      <c r="E50">
        <v>0</v>
      </c>
      <c r="F50">
        <v>0.9</v>
      </c>
      <c r="G50">
        <v>7.4</v>
      </c>
      <c r="H50">
        <v>0.63019999999999998</v>
      </c>
      <c r="I50">
        <v>130.15</v>
      </c>
    </row>
    <row r="51" spans="1:9">
      <c r="A51" t="s">
        <v>803</v>
      </c>
      <c r="B51" t="s">
        <v>791</v>
      </c>
      <c r="C51">
        <v>0</v>
      </c>
      <c r="D51">
        <v>0.1</v>
      </c>
      <c r="E51">
        <v>0</v>
      </c>
      <c r="F51">
        <v>0.9</v>
      </c>
      <c r="G51">
        <v>7.4</v>
      </c>
      <c r="H51">
        <v>0.63019999999999998</v>
      </c>
      <c r="I51">
        <v>107.14</v>
      </c>
    </row>
    <row r="52" spans="1:9">
      <c r="A52" t="s">
        <v>803</v>
      </c>
      <c r="B52" t="s">
        <v>792</v>
      </c>
      <c r="C52">
        <v>0</v>
      </c>
      <c r="D52">
        <v>0.1</v>
      </c>
      <c r="E52">
        <v>0</v>
      </c>
      <c r="F52">
        <v>0.9</v>
      </c>
      <c r="G52">
        <v>7.4</v>
      </c>
      <c r="H52">
        <v>0.63019999999999998</v>
      </c>
      <c r="I52">
        <v>92.8</v>
      </c>
    </row>
    <row r="53" spans="1:9">
      <c r="A53" t="s">
        <v>803</v>
      </c>
      <c r="B53" t="s">
        <v>793</v>
      </c>
      <c r="C53">
        <v>0</v>
      </c>
      <c r="D53">
        <v>0.1</v>
      </c>
      <c r="E53">
        <v>0</v>
      </c>
      <c r="F53">
        <v>0.9</v>
      </c>
      <c r="G53">
        <v>7.4</v>
      </c>
      <c r="H53">
        <v>0.63019999999999998</v>
      </c>
      <c r="I53">
        <v>82.77</v>
      </c>
    </row>
    <row r="54" spans="1:9">
      <c r="A54" t="s">
        <v>803</v>
      </c>
      <c r="B54" t="s">
        <v>794</v>
      </c>
      <c r="C54">
        <v>0</v>
      </c>
      <c r="D54">
        <v>0.1</v>
      </c>
      <c r="E54">
        <v>0</v>
      </c>
      <c r="F54">
        <v>0.9</v>
      </c>
      <c r="G54">
        <v>7.4</v>
      </c>
      <c r="H54">
        <v>0.63019999999999998</v>
      </c>
      <c r="I54">
        <v>80.98</v>
      </c>
    </row>
    <row r="55" spans="1:9">
      <c r="A55" t="s">
        <v>804</v>
      </c>
      <c r="B55" t="s">
        <v>790</v>
      </c>
      <c r="C55">
        <v>0</v>
      </c>
      <c r="D55">
        <v>0</v>
      </c>
      <c r="E55">
        <v>0</v>
      </c>
      <c r="F55">
        <v>1</v>
      </c>
      <c r="G55">
        <v>8</v>
      </c>
      <c r="H55">
        <v>0.59509999999999996</v>
      </c>
      <c r="I55">
        <v>129.84</v>
      </c>
    </row>
    <row r="56" spans="1:9">
      <c r="A56" t="s">
        <v>804</v>
      </c>
      <c r="B56" t="s">
        <v>791</v>
      </c>
      <c r="C56">
        <v>0</v>
      </c>
      <c r="D56">
        <v>0</v>
      </c>
      <c r="E56">
        <v>0</v>
      </c>
      <c r="F56">
        <v>1</v>
      </c>
      <c r="G56">
        <v>8</v>
      </c>
      <c r="H56">
        <v>0.59509999999999996</v>
      </c>
      <c r="I56">
        <v>105.74</v>
      </c>
    </row>
    <row r="57" spans="1:9">
      <c r="A57" t="s">
        <v>804</v>
      </c>
      <c r="B57" t="s">
        <v>792</v>
      </c>
      <c r="C57">
        <v>0</v>
      </c>
      <c r="D57">
        <v>0</v>
      </c>
      <c r="E57">
        <v>0</v>
      </c>
      <c r="F57">
        <v>1</v>
      </c>
      <c r="G57">
        <v>8</v>
      </c>
      <c r="H57">
        <v>0.59509999999999996</v>
      </c>
      <c r="I57">
        <v>91.29</v>
      </c>
    </row>
    <row r="58" spans="1:9">
      <c r="A58" t="s">
        <v>804</v>
      </c>
      <c r="B58" t="s">
        <v>793</v>
      </c>
      <c r="C58">
        <v>0</v>
      </c>
      <c r="D58">
        <v>0</v>
      </c>
      <c r="E58">
        <v>0</v>
      </c>
      <c r="F58">
        <v>1</v>
      </c>
      <c r="G58">
        <v>8</v>
      </c>
      <c r="H58">
        <v>0.59509999999999996</v>
      </c>
      <c r="I58">
        <v>80.599999999999994</v>
      </c>
    </row>
    <row r="59" spans="1:9">
      <c r="A59" t="s">
        <v>804</v>
      </c>
      <c r="B59" t="s">
        <v>794</v>
      </c>
      <c r="C59">
        <v>0</v>
      </c>
      <c r="D59">
        <v>0</v>
      </c>
      <c r="E59">
        <v>0</v>
      </c>
      <c r="F59">
        <v>1</v>
      </c>
      <c r="G59">
        <v>8</v>
      </c>
      <c r="H59">
        <v>0.59509999999999996</v>
      </c>
      <c r="I59">
        <v>78.599999999999994</v>
      </c>
    </row>
    <row r="60" spans="1:9">
      <c r="A60" t="s">
        <v>805</v>
      </c>
      <c r="B60" t="s">
        <v>790</v>
      </c>
      <c r="C60">
        <v>0.25</v>
      </c>
      <c r="D60">
        <v>0</v>
      </c>
      <c r="E60">
        <v>0.05</v>
      </c>
      <c r="F60">
        <v>0.7</v>
      </c>
      <c r="G60">
        <v>6.05</v>
      </c>
      <c r="H60">
        <v>0.47410000000000002</v>
      </c>
      <c r="I60">
        <v>150.75</v>
      </c>
    </row>
    <row r="61" spans="1:9">
      <c r="A61" t="s">
        <v>805</v>
      </c>
      <c r="B61" t="s">
        <v>791</v>
      </c>
      <c r="C61">
        <v>0.25</v>
      </c>
      <c r="D61">
        <v>0</v>
      </c>
      <c r="E61">
        <v>0.05</v>
      </c>
      <c r="F61">
        <v>0.7</v>
      </c>
      <c r="G61">
        <v>6.05</v>
      </c>
      <c r="H61">
        <v>0.47410000000000002</v>
      </c>
      <c r="I61">
        <v>128.75</v>
      </c>
    </row>
    <row r="62" spans="1:9">
      <c r="A62" t="s">
        <v>805</v>
      </c>
      <c r="B62" t="s">
        <v>792</v>
      </c>
      <c r="C62">
        <v>0.25</v>
      </c>
      <c r="D62">
        <v>0</v>
      </c>
      <c r="E62">
        <v>0.05</v>
      </c>
      <c r="F62">
        <v>0.7</v>
      </c>
      <c r="G62">
        <v>6.05</v>
      </c>
      <c r="H62">
        <v>0.47410000000000002</v>
      </c>
      <c r="I62">
        <v>112.22</v>
      </c>
    </row>
    <row r="63" spans="1:9">
      <c r="A63" t="s">
        <v>805</v>
      </c>
      <c r="B63" t="s">
        <v>793</v>
      </c>
      <c r="C63">
        <v>0.25</v>
      </c>
      <c r="D63">
        <v>0</v>
      </c>
      <c r="E63">
        <v>0.05</v>
      </c>
      <c r="F63">
        <v>0.7</v>
      </c>
      <c r="G63">
        <v>6.05</v>
      </c>
      <c r="H63">
        <v>0.47410000000000002</v>
      </c>
      <c r="I63">
        <v>101.16</v>
      </c>
    </row>
    <row r="64" spans="1:9">
      <c r="A64" t="s">
        <v>805</v>
      </c>
      <c r="B64" t="s">
        <v>794</v>
      </c>
      <c r="C64">
        <v>0.25</v>
      </c>
      <c r="D64">
        <v>0</v>
      </c>
      <c r="E64">
        <v>0.05</v>
      </c>
      <c r="F64">
        <v>0.7</v>
      </c>
      <c r="G64">
        <v>6.05</v>
      </c>
      <c r="H64">
        <v>0.47410000000000002</v>
      </c>
      <c r="I64">
        <v>99.51</v>
      </c>
    </row>
    <row r="65" spans="1:9">
      <c r="A65" t="s">
        <v>806</v>
      </c>
      <c r="B65" t="s">
        <v>790</v>
      </c>
      <c r="C65">
        <v>0.25</v>
      </c>
      <c r="D65">
        <v>0</v>
      </c>
      <c r="E65">
        <v>0.05</v>
      </c>
      <c r="F65">
        <v>0.7</v>
      </c>
      <c r="G65">
        <v>6.05</v>
      </c>
      <c r="H65">
        <v>0.71109999999999995</v>
      </c>
      <c r="I65">
        <v>130.72</v>
      </c>
    </row>
    <row r="66" spans="1:9">
      <c r="A66" t="s">
        <v>806</v>
      </c>
      <c r="B66" t="s">
        <v>791</v>
      </c>
      <c r="C66">
        <v>0.25</v>
      </c>
      <c r="D66">
        <v>0</v>
      </c>
      <c r="E66">
        <v>0.05</v>
      </c>
      <c r="F66">
        <v>0.7</v>
      </c>
      <c r="G66">
        <v>6.05</v>
      </c>
      <c r="H66">
        <v>0.71109999999999995</v>
      </c>
      <c r="I66">
        <v>109.8</v>
      </c>
    </row>
    <row r="67" spans="1:9">
      <c r="A67" t="s">
        <v>806</v>
      </c>
      <c r="B67" t="s">
        <v>792</v>
      </c>
      <c r="C67">
        <v>0.25</v>
      </c>
      <c r="D67">
        <v>0</v>
      </c>
      <c r="E67">
        <v>0.05</v>
      </c>
      <c r="F67">
        <v>0.7</v>
      </c>
      <c r="G67">
        <v>6.05</v>
      </c>
      <c r="H67">
        <v>0.71109999999999995</v>
      </c>
      <c r="I67">
        <v>95.67</v>
      </c>
    </row>
    <row r="68" spans="1:9">
      <c r="A68" t="s">
        <v>806</v>
      </c>
      <c r="B68" t="s">
        <v>793</v>
      </c>
      <c r="C68">
        <v>0.25</v>
      </c>
      <c r="D68">
        <v>0</v>
      </c>
      <c r="E68">
        <v>0.05</v>
      </c>
      <c r="F68">
        <v>0.7</v>
      </c>
      <c r="G68">
        <v>6.05</v>
      </c>
      <c r="H68">
        <v>0.71109999999999995</v>
      </c>
      <c r="I68">
        <v>86.92</v>
      </c>
    </row>
    <row r="69" spans="1:9">
      <c r="A69" t="s">
        <v>806</v>
      </c>
      <c r="B69" t="s">
        <v>794</v>
      </c>
      <c r="C69">
        <v>0.25</v>
      </c>
      <c r="D69">
        <v>0</v>
      </c>
      <c r="E69">
        <v>0.05</v>
      </c>
      <c r="F69">
        <v>0.7</v>
      </c>
      <c r="G69">
        <v>6.05</v>
      </c>
      <c r="H69">
        <v>0.71109999999999995</v>
      </c>
      <c r="I69">
        <v>85.53</v>
      </c>
    </row>
    <row r="70" spans="1:9">
      <c r="A70" t="s">
        <v>807</v>
      </c>
      <c r="B70" t="s">
        <v>790</v>
      </c>
      <c r="C70">
        <v>0.25</v>
      </c>
      <c r="D70">
        <v>0</v>
      </c>
      <c r="E70">
        <v>0.05</v>
      </c>
      <c r="F70">
        <v>0.7</v>
      </c>
      <c r="G70">
        <v>6.05</v>
      </c>
      <c r="H70">
        <v>0.94810000000000005</v>
      </c>
      <c r="I70">
        <v>120.71</v>
      </c>
    </row>
    <row r="71" spans="1:9">
      <c r="A71" t="s">
        <v>807</v>
      </c>
      <c r="B71" t="s">
        <v>791</v>
      </c>
      <c r="C71">
        <v>0.25</v>
      </c>
      <c r="D71">
        <v>0</v>
      </c>
      <c r="E71">
        <v>0.05</v>
      </c>
      <c r="F71">
        <v>0.7</v>
      </c>
      <c r="G71">
        <v>6.05</v>
      </c>
      <c r="H71">
        <v>0.94810000000000005</v>
      </c>
      <c r="I71">
        <v>100.33</v>
      </c>
    </row>
    <row r="72" spans="1:9">
      <c r="A72" t="s">
        <v>807</v>
      </c>
      <c r="B72" t="s">
        <v>792</v>
      </c>
      <c r="C72">
        <v>0.25</v>
      </c>
      <c r="D72">
        <v>0</v>
      </c>
      <c r="E72">
        <v>0.05</v>
      </c>
      <c r="F72">
        <v>0.7</v>
      </c>
      <c r="G72">
        <v>6.05</v>
      </c>
      <c r="H72">
        <v>0.94810000000000005</v>
      </c>
      <c r="I72">
        <v>87.4</v>
      </c>
    </row>
    <row r="73" spans="1:9">
      <c r="A73" t="s">
        <v>807</v>
      </c>
      <c r="B73" t="s">
        <v>793</v>
      </c>
      <c r="C73">
        <v>0.25</v>
      </c>
      <c r="D73">
        <v>0</v>
      </c>
      <c r="E73">
        <v>0.05</v>
      </c>
      <c r="F73">
        <v>0.7</v>
      </c>
      <c r="G73">
        <v>6.05</v>
      </c>
      <c r="H73">
        <v>0.94810000000000005</v>
      </c>
      <c r="I73">
        <v>79.8</v>
      </c>
    </row>
    <row r="74" spans="1:9">
      <c r="A74" t="s">
        <v>807</v>
      </c>
      <c r="B74" t="s">
        <v>794</v>
      </c>
      <c r="C74">
        <v>0.25</v>
      </c>
      <c r="D74">
        <v>0</v>
      </c>
      <c r="E74">
        <v>0.05</v>
      </c>
      <c r="F74">
        <v>0.7</v>
      </c>
      <c r="G74">
        <v>6.05</v>
      </c>
      <c r="H74">
        <v>0.94810000000000005</v>
      </c>
      <c r="I74">
        <v>78.540000000000006</v>
      </c>
    </row>
    <row r="75" spans="1:9">
      <c r="A75" t="s">
        <v>808</v>
      </c>
      <c r="B75" t="s">
        <v>790</v>
      </c>
      <c r="C75">
        <v>0.25</v>
      </c>
      <c r="D75">
        <v>0</v>
      </c>
      <c r="E75">
        <v>0.05</v>
      </c>
      <c r="F75">
        <v>0.7</v>
      </c>
      <c r="G75">
        <v>6.05</v>
      </c>
      <c r="H75">
        <v>1.1852</v>
      </c>
      <c r="I75">
        <v>114.7</v>
      </c>
    </row>
    <row r="76" spans="1:9">
      <c r="A76" t="s">
        <v>808</v>
      </c>
      <c r="B76" t="s">
        <v>791</v>
      </c>
      <c r="C76">
        <v>0.25</v>
      </c>
      <c r="D76">
        <v>0</v>
      </c>
      <c r="E76">
        <v>0.05</v>
      </c>
      <c r="F76">
        <v>0.7</v>
      </c>
      <c r="G76">
        <v>6.05</v>
      </c>
      <c r="H76">
        <v>1.1852</v>
      </c>
      <c r="I76">
        <v>94.65</v>
      </c>
    </row>
    <row r="77" spans="1:9">
      <c r="A77" t="s">
        <v>808</v>
      </c>
      <c r="B77" t="s">
        <v>792</v>
      </c>
      <c r="C77">
        <v>0.25</v>
      </c>
      <c r="D77">
        <v>0</v>
      </c>
      <c r="E77">
        <v>0.05</v>
      </c>
      <c r="F77">
        <v>0.7</v>
      </c>
      <c r="G77">
        <v>6.05</v>
      </c>
      <c r="H77">
        <v>1.1852</v>
      </c>
      <c r="I77">
        <v>82.43</v>
      </c>
    </row>
    <row r="78" spans="1:9">
      <c r="A78" t="s">
        <v>808</v>
      </c>
      <c r="B78" t="s">
        <v>793</v>
      </c>
      <c r="C78">
        <v>0.25</v>
      </c>
      <c r="D78">
        <v>0</v>
      </c>
      <c r="E78">
        <v>0.05</v>
      </c>
      <c r="F78">
        <v>0.7</v>
      </c>
      <c r="G78">
        <v>6.05</v>
      </c>
      <c r="H78">
        <v>1.1852</v>
      </c>
      <c r="I78">
        <v>75.52</v>
      </c>
    </row>
    <row r="79" spans="1:9">
      <c r="A79" t="s">
        <v>808</v>
      </c>
      <c r="B79" t="s">
        <v>794</v>
      </c>
      <c r="C79">
        <v>0.25</v>
      </c>
      <c r="D79">
        <v>0</v>
      </c>
      <c r="E79">
        <v>0.05</v>
      </c>
      <c r="F79">
        <v>0.7</v>
      </c>
      <c r="G79">
        <v>6.05</v>
      </c>
      <c r="H79">
        <v>1.1852</v>
      </c>
      <c r="I79">
        <v>74.34</v>
      </c>
    </row>
    <row r="80" spans="1:9">
      <c r="A80" t="s">
        <v>809</v>
      </c>
      <c r="B80" t="s">
        <v>790</v>
      </c>
      <c r="C80">
        <v>0.25</v>
      </c>
      <c r="D80">
        <v>0</v>
      </c>
      <c r="E80">
        <v>0.05</v>
      </c>
      <c r="F80">
        <v>0.7</v>
      </c>
      <c r="G80">
        <v>6.05</v>
      </c>
      <c r="H80">
        <v>0.70379999999999998</v>
      </c>
      <c r="I80">
        <v>132.07</v>
      </c>
    </row>
    <row r="81" spans="1:9">
      <c r="A81" t="s">
        <v>809</v>
      </c>
      <c r="B81" t="s">
        <v>791</v>
      </c>
      <c r="C81">
        <v>0.25</v>
      </c>
      <c r="D81">
        <v>0</v>
      </c>
      <c r="E81">
        <v>0.05</v>
      </c>
      <c r="F81">
        <v>0.7</v>
      </c>
      <c r="G81">
        <v>6.05</v>
      </c>
      <c r="H81">
        <v>0.70379999999999998</v>
      </c>
      <c r="I81">
        <v>110.94</v>
      </c>
    </row>
    <row r="82" spans="1:9">
      <c r="A82" t="s">
        <v>809</v>
      </c>
      <c r="B82" t="s">
        <v>792</v>
      </c>
      <c r="C82">
        <v>0.25</v>
      </c>
      <c r="D82">
        <v>0</v>
      </c>
      <c r="E82">
        <v>0.05</v>
      </c>
      <c r="F82">
        <v>0.7</v>
      </c>
      <c r="G82">
        <v>6.05</v>
      </c>
      <c r="H82">
        <v>0.70379999999999998</v>
      </c>
      <c r="I82">
        <v>96.66</v>
      </c>
    </row>
    <row r="83" spans="1:9">
      <c r="A83" t="s">
        <v>809</v>
      </c>
      <c r="B83" t="s">
        <v>793</v>
      </c>
      <c r="C83">
        <v>0.25</v>
      </c>
      <c r="D83">
        <v>0</v>
      </c>
      <c r="E83">
        <v>0.05</v>
      </c>
      <c r="F83">
        <v>0.7</v>
      </c>
      <c r="G83">
        <v>6.05</v>
      </c>
      <c r="H83">
        <v>0.70379999999999998</v>
      </c>
      <c r="I83">
        <v>87.81</v>
      </c>
    </row>
    <row r="84" spans="1:9">
      <c r="A84" t="s">
        <v>809</v>
      </c>
      <c r="B84" t="s">
        <v>794</v>
      </c>
      <c r="C84">
        <v>0.25</v>
      </c>
      <c r="D84">
        <v>0</v>
      </c>
      <c r="E84">
        <v>0.05</v>
      </c>
      <c r="F84">
        <v>0.7</v>
      </c>
      <c r="G84">
        <v>6.05</v>
      </c>
      <c r="H84">
        <v>0.70379999999999998</v>
      </c>
      <c r="I84">
        <v>86.41</v>
      </c>
    </row>
    <row r="85" spans="1:9">
      <c r="A85" t="s">
        <v>810</v>
      </c>
      <c r="B85" t="s">
        <v>790</v>
      </c>
      <c r="C85">
        <v>0.25</v>
      </c>
      <c r="D85">
        <v>0</v>
      </c>
      <c r="E85">
        <v>0.05</v>
      </c>
      <c r="F85">
        <v>0.7</v>
      </c>
      <c r="G85">
        <v>6.05</v>
      </c>
      <c r="H85">
        <v>0.71109999999999995</v>
      </c>
      <c r="I85">
        <v>130.72</v>
      </c>
    </row>
    <row r="86" spans="1:9">
      <c r="A86" t="s">
        <v>810</v>
      </c>
      <c r="B86" t="s">
        <v>791</v>
      </c>
      <c r="C86">
        <v>0.25</v>
      </c>
      <c r="D86">
        <v>0</v>
      </c>
      <c r="E86">
        <v>0.05</v>
      </c>
      <c r="F86">
        <v>0.7</v>
      </c>
      <c r="G86">
        <v>6.05</v>
      </c>
      <c r="H86">
        <v>0.71109999999999995</v>
      </c>
      <c r="I86">
        <v>109.8</v>
      </c>
    </row>
    <row r="87" spans="1:9">
      <c r="A87" t="s">
        <v>810</v>
      </c>
      <c r="B87" t="s">
        <v>792</v>
      </c>
      <c r="C87">
        <v>0.25</v>
      </c>
      <c r="D87">
        <v>0</v>
      </c>
      <c r="E87">
        <v>0.05</v>
      </c>
      <c r="F87">
        <v>0.7</v>
      </c>
      <c r="G87">
        <v>6.05</v>
      </c>
      <c r="H87">
        <v>0.71109999999999995</v>
      </c>
      <c r="I87">
        <v>95.67</v>
      </c>
    </row>
    <row r="88" spans="1:9">
      <c r="A88" t="s">
        <v>810</v>
      </c>
      <c r="B88" t="s">
        <v>793</v>
      </c>
      <c r="C88">
        <v>0.25</v>
      </c>
      <c r="D88">
        <v>0</v>
      </c>
      <c r="E88">
        <v>0.05</v>
      </c>
      <c r="F88">
        <v>0.7</v>
      </c>
      <c r="G88">
        <v>6.05</v>
      </c>
      <c r="H88">
        <v>0.71109999999999995</v>
      </c>
      <c r="I88">
        <v>86.92</v>
      </c>
    </row>
    <row r="89" spans="1:9">
      <c r="A89" t="s">
        <v>810</v>
      </c>
      <c r="B89" t="s">
        <v>794</v>
      </c>
      <c r="C89">
        <v>0.25</v>
      </c>
      <c r="D89">
        <v>0</v>
      </c>
      <c r="E89">
        <v>0.05</v>
      </c>
      <c r="F89">
        <v>0.7</v>
      </c>
      <c r="G89">
        <v>6.05</v>
      </c>
      <c r="H89">
        <v>0.71109999999999995</v>
      </c>
      <c r="I89">
        <v>85.53</v>
      </c>
    </row>
    <row r="90" spans="1:9">
      <c r="A90" t="s">
        <v>811</v>
      </c>
      <c r="B90" t="s">
        <v>790</v>
      </c>
      <c r="C90">
        <v>0.25</v>
      </c>
      <c r="D90">
        <v>0</v>
      </c>
      <c r="E90">
        <v>0.05</v>
      </c>
      <c r="F90">
        <v>0.7</v>
      </c>
      <c r="G90">
        <v>6.05</v>
      </c>
      <c r="H90">
        <v>0.71830000000000005</v>
      </c>
      <c r="I90">
        <v>129.4</v>
      </c>
    </row>
    <row r="91" spans="1:9">
      <c r="A91" t="s">
        <v>811</v>
      </c>
      <c r="B91" t="s">
        <v>791</v>
      </c>
      <c r="C91">
        <v>0.25</v>
      </c>
      <c r="D91">
        <v>0</v>
      </c>
      <c r="E91">
        <v>0.05</v>
      </c>
      <c r="F91">
        <v>0.7</v>
      </c>
      <c r="G91">
        <v>6.05</v>
      </c>
      <c r="H91">
        <v>0.71830000000000005</v>
      </c>
      <c r="I91">
        <v>108.69</v>
      </c>
    </row>
    <row r="92" spans="1:9">
      <c r="A92" t="s">
        <v>811</v>
      </c>
      <c r="B92" t="s">
        <v>792</v>
      </c>
      <c r="C92">
        <v>0.25</v>
      </c>
      <c r="D92">
        <v>0</v>
      </c>
      <c r="E92">
        <v>0.05</v>
      </c>
      <c r="F92">
        <v>0.7</v>
      </c>
      <c r="G92">
        <v>6.05</v>
      </c>
      <c r="H92">
        <v>0.71830000000000005</v>
      </c>
      <c r="I92">
        <v>94.71</v>
      </c>
    </row>
    <row r="93" spans="1:9">
      <c r="A93" t="s">
        <v>811</v>
      </c>
      <c r="B93" t="s">
        <v>793</v>
      </c>
      <c r="C93">
        <v>0.25</v>
      </c>
      <c r="D93">
        <v>0</v>
      </c>
      <c r="E93">
        <v>0.05</v>
      </c>
      <c r="F93">
        <v>0.7</v>
      </c>
      <c r="G93">
        <v>6.05</v>
      </c>
      <c r="H93">
        <v>0.71830000000000005</v>
      </c>
      <c r="I93">
        <v>86.04</v>
      </c>
    </row>
    <row r="94" spans="1:9">
      <c r="A94" t="s">
        <v>811</v>
      </c>
      <c r="B94" t="s">
        <v>794</v>
      </c>
      <c r="C94">
        <v>0.25</v>
      </c>
      <c r="D94">
        <v>0</v>
      </c>
      <c r="E94">
        <v>0.05</v>
      </c>
      <c r="F94">
        <v>0.7</v>
      </c>
      <c r="G94">
        <v>6.05</v>
      </c>
      <c r="H94">
        <v>0.71830000000000005</v>
      </c>
      <c r="I94">
        <v>84.67</v>
      </c>
    </row>
    <row r="95" spans="1:9">
      <c r="A95" t="s">
        <v>812</v>
      </c>
      <c r="B95" t="s">
        <v>790</v>
      </c>
      <c r="C95">
        <v>0.25</v>
      </c>
      <c r="D95">
        <v>0</v>
      </c>
      <c r="E95">
        <v>0.05</v>
      </c>
      <c r="F95">
        <v>0.7</v>
      </c>
      <c r="G95">
        <v>6.05</v>
      </c>
      <c r="H95">
        <v>0.74199999999999999</v>
      </c>
      <c r="I95">
        <v>125.27</v>
      </c>
    </row>
    <row r="96" spans="1:9">
      <c r="A96" t="s">
        <v>812</v>
      </c>
      <c r="B96" t="s">
        <v>791</v>
      </c>
      <c r="C96">
        <v>0.25</v>
      </c>
      <c r="D96">
        <v>0</v>
      </c>
      <c r="E96">
        <v>0.05</v>
      </c>
      <c r="F96">
        <v>0.7</v>
      </c>
      <c r="G96">
        <v>6.05</v>
      </c>
      <c r="H96">
        <v>0.74199999999999999</v>
      </c>
      <c r="I96">
        <v>105.23</v>
      </c>
    </row>
    <row r="97" spans="1:9">
      <c r="A97" t="s">
        <v>812</v>
      </c>
      <c r="B97" t="s">
        <v>792</v>
      </c>
      <c r="C97">
        <v>0.25</v>
      </c>
      <c r="D97">
        <v>0</v>
      </c>
      <c r="E97">
        <v>0.05</v>
      </c>
      <c r="F97">
        <v>0.7</v>
      </c>
      <c r="G97">
        <v>6.05</v>
      </c>
      <c r="H97">
        <v>0.74199999999999999</v>
      </c>
      <c r="I97">
        <v>91.69</v>
      </c>
    </row>
    <row r="98" spans="1:9">
      <c r="A98" t="s">
        <v>812</v>
      </c>
      <c r="B98" t="s">
        <v>793</v>
      </c>
      <c r="C98">
        <v>0.25</v>
      </c>
      <c r="D98">
        <v>0</v>
      </c>
      <c r="E98">
        <v>0.05</v>
      </c>
      <c r="F98">
        <v>0.7</v>
      </c>
      <c r="G98">
        <v>6.05</v>
      </c>
      <c r="H98">
        <v>0.74199999999999999</v>
      </c>
      <c r="I98">
        <v>83.3</v>
      </c>
    </row>
    <row r="99" spans="1:9">
      <c r="A99" t="s">
        <v>812</v>
      </c>
      <c r="B99" t="s">
        <v>794</v>
      </c>
      <c r="C99">
        <v>0.25</v>
      </c>
      <c r="D99">
        <v>0</v>
      </c>
      <c r="E99">
        <v>0.05</v>
      </c>
      <c r="F99">
        <v>0.7</v>
      </c>
      <c r="G99">
        <v>6.05</v>
      </c>
      <c r="H99">
        <v>0.74199999999999999</v>
      </c>
      <c r="I99">
        <v>81.97</v>
      </c>
    </row>
    <row r="100" spans="1:9">
      <c r="A100" t="s">
        <v>813</v>
      </c>
      <c r="B100" t="s">
        <v>790</v>
      </c>
      <c r="C100">
        <v>0.25</v>
      </c>
      <c r="D100">
        <v>0</v>
      </c>
      <c r="E100">
        <v>0.05</v>
      </c>
      <c r="F100">
        <v>0.7</v>
      </c>
      <c r="G100">
        <v>6.05</v>
      </c>
      <c r="H100">
        <v>0.71109999999999995</v>
      </c>
      <c r="I100">
        <v>130.72</v>
      </c>
    </row>
    <row r="101" spans="1:9">
      <c r="A101" t="s">
        <v>813</v>
      </c>
      <c r="B101" t="s">
        <v>791</v>
      </c>
      <c r="C101">
        <v>0.25</v>
      </c>
      <c r="D101">
        <v>0</v>
      </c>
      <c r="E101">
        <v>0.05</v>
      </c>
      <c r="F101">
        <v>0.7</v>
      </c>
      <c r="G101">
        <v>6.05</v>
      </c>
      <c r="H101">
        <v>0.71109999999999995</v>
      </c>
      <c r="I101">
        <v>109.8</v>
      </c>
    </row>
    <row r="102" spans="1:9">
      <c r="A102" t="s">
        <v>813</v>
      </c>
      <c r="B102" t="s">
        <v>792</v>
      </c>
      <c r="C102">
        <v>0.25</v>
      </c>
      <c r="D102">
        <v>0</v>
      </c>
      <c r="E102">
        <v>0.05</v>
      </c>
      <c r="F102">
        <v>0.7</v>
      </c>
      <c r="G102">
        <v>6.05</v>
      </c>
      <c r="H102">
        <v>0.71109999999999995</v>
      </c>
      <c r="I102">
        <v>95.67</v>
      </c>
    </row>
    <row r="103" spans="1:9">
      <c r="A103" t="s">
        <v>813</v>
      </c>
      <c r="B103" t="s">
        <v>793</v>
      </c>
      <c r="C103">
        <v>0.25</v>
      </c>
      <c r="D103">
        <v>0</v>
      </c>
      <c r="E103">
        <v>0.05</v>
      </c>
      <c r="F103">
        <v>0.7</v>
      </c>
      <c r="G103">
        <v>6.05</v>
      </c>
      <c r="H103">
        <v>0.71109999999999995</v>
      </c>
      <c r="I103">
        <v>86.92</v>
      </c>
    </row>
    <row r="104" spans="1:9">
      <c r="A104" t="s">
        <v>813</v>
      </c>
      <c r="B104" t="s">
        <v>794</v>
      </c>
      <c r="C104">
        <v>0.25</v>
      </c>
      <c r="D104">
        <v>0</v>
      </c>
      <c r="E104">
        <v>0.05</v>
      </c>
      <c r="F104">
        <v>0.7</v>
      </c>
      <c r="G104">
        <v>6.05</v>
      </c>
      <c r="H104">
        <v>0.71109999999999995</v>
      </c>
      <c r="I104">
        <v>85.53</v>
      </c>
    </row>
    <row r="105" spans="1:9">
      <c r="A105" t="s">
        <v>814</v>
      </c>
      <c r="B105" t="s">
        <v>790</v>
      </c>
      <c r="C105">
        <v>0.25</v>
      </c>
      <c r="D105">
        <v>0</v>
      </c>
      <c r="E105">
        <v>0.05</v>
      </c>
      <c r="F105">
        <v>0.7</v>
      </c>
      <c r="G105">
        <v>6.05</v>
      </c>
      <c r="H105">
        <v>0.68020000000000003</v>
      </c>
      <c r="I105">
        <v>136.66</v>
      </c>
    </row>
    <row r="106" spans="1:9">
      <c r="A106" t="s">
        <v>814</v>
      </c>
      <c r="B106" t="s">
        <v>791</v>
      </c>
      <c r="C106">
        <v>0.25</v>
      </c>
      <c r="D106">
        <v>0</v>
      </c>
      <c r="E106">
        <v>0.05</v>
      </c>
      <c r="F106">
        <v>0.7</v>
      </c>
      <c r="G106">
        <v>6.05</v>
      </c>
      <c r="H106">
        <v>0.68020000000000003</v>
      </c>
      <c r="I106">
        <v>114.79</v>
      </c>
    </row>
    <row r="107" spans="1:9">
      <c r="A107" t="s">
        <v>814</v>
      </c>
      <c r="B107" t="s">
        <v>792</v>
      </c>
      <c r="C107">
        <v>0.25</v>
      </c>
      <c r="D107">
        <v>0</v>
      </c>
      <c r="E107">
        <v>0.05</v>
      </c>
      <c r="F107">
        <v>0.7</v>
      </c>
      <c r="G107">
        <v>6.05</v>
      </c>
      <c r="H107">
        <v>0.68020000000000003</v>
      </c>
      <c r="I107">
        <v>100.02</v>
      </c>
    </row>
    <row r="108" spans="1:9">
      <c r="A108" t="s">
        <v>814</v>
      </c>
      <c r="B108" t="s">
        <v>793</v>
      </c>
      <c r="C108">
        <v>0.25</v>
      </c>
      <c r="D108">
        <v>0</v>
      </c>
      <c r="E108">
        <v>0.05</v>
      </c>
      <c r="F108">
        <v>0.7</v>
      </c>
      <c r="G108">
        <v>6.05</v>
      </c>
      <c r="H108">
        <v>0.68020000000000003</v>
      </c>
      <c r="I108">
        <v>90.87</v>
      </c>
    </row>
    <row r="109" spans="1:9">
      <c r="A109" t="s">
        <v>814</v>
      </c>
      <c r="B109" t="s">
        <v>794</v>
      </c>
      <c r="C109">
        <v>0.25</v>
      </c>
      <c r="D109">
        <v>0</v>
      </c>
      <c r="E109">
        <v>0.05</v>
      </c>
      <c r="F109">
        <v>0.7</v>
      </c>
      <c r="G109">
        <v>6.05</v>
      </c>
      <c r="H109">
        <v>0.68020000000000003</v>
      </c>
      <c r="I109">
        <v>89.42</v>
      </c>
    </row>
    <row r="110" spans="1:9">
      <c r="A110" t="s">
        <v>815</v>
      </c>
      <c r="B110" t="s">
        <v>790</v>
      </c>
      <c r="C110">
        <v>0.8</v>
      </c>
      <c r="D110">
        <v>0</v>
      </c>
      <c r="E110">
        <v>0.1</v>
      </c>
      <c r="F110">
        <v>0.1</v>
      </c>
      <c r="G110">
        <v>2</v>
      </c>
      <c r="H110">
        <v>0.71109999999999995</v>
      </c>
      <c r="I110">
        <v>111.52</v>
      </c>
    </row>
    <row r="111" spans="1:9">
      <c r="A111" t="s">
        <v>815</v>
      </c>
      <c r="B111" t="s">
        <v>791</v>
      </c>
      <c r="C111">
        <v>0.8</v>
      </c>
      <c r="D111">
        <v>0</v>
      </c>
      <c r="E111">
        <v>0.1</v>
      </c>
      <c r="F111">
        <v>0.1</v>
      </c>
      <c r="G111">
        <v>2</v>
      </c>
      <c r="H111">
        <v>0.71109999999999995</v>
      </c>
      <c r="I111">
        <v>91.65</v>
      </c>
    </row>
    <row r="112" spans="1:9">
      <c r="A112" t="s">
        <v>815</v>
      </c>
      <c r="B112" t="s">
        <v>792</v>
      </c>
      <c r="C112">
        <v>0.8</v>
      </c>
      <c r="D112">
        <v>0</v>
      </c>
      <c r="E112">
        <v>0.1</v>
      </c>
      <c r="F112">
        <v>0.1</v>
      </c>
      <c r="G112">
        <v>2</v>
      </c>
      <c r="H112">
        <v>0.71109999999999995</v>
      </c>
      <c r="I112">
        <v>79.94</v>
      </c>
    </row>
    <row r="113" spans="1:9">
      <c r="A113" t="s">
        <v>815</v>
      </c>
      <c r="B113" t="s">
        <v>793</v>
      </c>
      <c r="C113">
        <v>0.8</v>
      </c>
      <c r="D113">
        <v>0</v>
      </c>
      <c r="E113">
        <v>0.1</v>
      </c>
      <c r="F113">
        <v>0.1</v>
      </c>
      <c r="G113">
        <v>2</v>
      </c>
      <c r="H113">
        <v>0.71109999999999995</v>
      </c>
      <c r="I113">
        <v>73.67</v>
      </c>
    </row>
    <row r="114" spans="1:9">
      <c r="A114" t="s">
        <v>815</v>
      </c>
      <c r="B114" t="s">
        <v>794</v>
      </c>
      <c r="C114">
        <v>0.8</v>
      </c>
      <c r="D114">
        <v>0</v>
      </c>
      <c r="E114">
        <v>0.1</v>
      </c>
      <c r="F114">
        <v>0.1</v>
      </c>
      <c r="G114">
        <v>2</v>
      </c>
      <c r="H114">
        <v>0.71109999999999995</v>
      </c>
      <c r="I114">
        <v>72.5</v>
      </c>
    </row>
    <row r="115" spans="1:9">
      <c r="A115" t="s">
        <v>816</v>
      </c>
      <c r="B115" t="s">
        <v>790</v>
      </c>
      <c r="C115">
        <v>0.5</v>
      </c>
      <c r="D115">
        <v>0.05</v>
      </c>
      <c r="E115">
        <v>0.05</v>
      </c>
      <c r="F115">
        <v>0.4</v>
      </c>
      <c r="G115">
        <v>4</v>
      </c>
      <c r="H115">
        <v>0.71109999999999995</v>
      </c>
      <c r="I115">
        <v>121.01</v>
      </c>
    </row>
    <row r="116" spans="1:9">
      <c r="A116" t="s">
        <v>816</v>
      </c>
      <c r="B116" t="s">
        <v>791</v>
      </c>
      <c r="C116">
        <v>0.5</v>
      </c>
      <c r="D116">
        <v>0.05</v>
      </c>
      <c r="E116">
        <v>0.05</v>
      </c>
      <c r="F116">
        <v>0.4</v>
      </c>
      <c r="G116">
        <v>4</v>
      </c>
      <c r="H116">
        <v>0.71109999999999995</v>
      </c>
      <c r="I116">
        <v>100.63</v>
      </c>
    </row>
    <row r="117" spans="1:9">
      <c r="A117" t="s">
        <v>816</v>
      </c>
      <c r="B117" t="s">
        <v>792</v>
      </c>
      <c r="C117">
        <v>0.5</v>
      </c>
      <c r="D117">
        <v>0.05</v>
      </c>
      <c r="E117">
        <v>0.05</v>
      </c>
      <c r="F117">
        <v>0.4</v>
      </c>
      <c r="G117">
        <v>4</v>
      </c>
      <c r="H117">
        <v>0.71109999999999995</v>
      </c>
      <c r="I117">
        <v>87.72</v>
      </c>
    </row>
    <row r="118" spans="1:9">
      <c r="A118" t="s">
        <v>816</v>
      </c>
      <c r="B118" t="s">
        <v>793</v>
      </c>
      <c r="C118">
        <v>0.5</v>
      </c>
      <c r="D118">
        <v>0.05</v>
      </c>
      <c r="E118">
        <v>0.05</v>
      </c>
      <c r="F118">
        <v>0.4</v>
      </c>
      <c r="G118">
        <v>4</v>
      </c>
      <c r="H118">
        <v>0.71109999999999995</v>
      </c>
      <c r="I118">
        <v>80.22</v>
      </c>
    </row>
    <row r="119" spans="1:9">
      <c r="A119" t="s">
        <v>816</v>
      </c>
      <c r="B119" t="s">
        <v>794</v>
      </c>
      <c r="C119">
        <v>0.5</v>
      </c>
      <c r="D119">
        <v>0.05</v>
      </c>
      <c r="E119">
        <v>0.05</v>
      </c>
      <c r="F119">
        <v>0.4</v>
      </c>
      <c r="G119">
        <v>4</v>
      </c>
      <c r="H119">
        <v>0.71109999999999995</v>
      </c>
      <c r="I119">
        <v>78.94</v>
      </c>
    </row>
    <row r="120" spans="1:9">
      <c r="A120" t="s">
        <v>817</v>
      </c>
      <c r="B120" t="s">
        <v>790</v>
      </c>
      <c r="C120">
        <v>0.2</v>
      </c>
      <c r="D120">
        <v>0.1</v>
      </c>
      <c r="E120">
        <v>0</v>
      </c>
      <c r="F120">
        <v>0.7</v>
      </c>
      <c r="G120">
        <v>6</v>
      </c>
      <c r="H120">
        <v>0.71109999999999995</v>
      </c>
      <c r="I120">
        <v>130.51</v>
      </c>
    </row>
    <row r="121" spans="1:9">
      <c r="A121" t="s">
        <v>817</v>
      </c>
      <c r="B121" t="s">
        <v>791</v>
      </c>
      <c r="C121">
        <v>0.2</v>
      </c>
      <c r="D121">
        <v>0.1</v>
      </c>
      <c r="E121">
        <v>0</v>
      </c>
      <c r="F121">
        <v>0.7</v>
      </c>
      <c r="G121">
        <v>6</v>
      </c>
      <c r="H121">
        <v>0.71109999999999995</v>
      </c>
      <c r="I121">
        <v>109.6</v>
      </c>
    </row>
    <row r="122" spans="1:9">
      <c r="A122" t="s">
        <v>817</v>
      </c>
      <c r="B122" t="s">
        <v>792</v>
      </c>
      <c r="C122">
        <v>0.2</v>
      </c>
      <c r="D122">
        <v>0.1</v>
      </c>
      <c r="E122">
        <v>0</v>
      </c>
      <c r="F122">
        <v>0.7</v>
      </c>
      <c r="G122">
        <v>6</v>
      </c>
      <c r="H122">
        <v>0.71109999999999995</v>
      </c>
      <c r="I122">
        <v>95.5</v>
      </c>
    </row>
    <row r="123" spans="1:9">
      <c r="A123" t="s">
        <v>817</v>
      </c>
      <c r="B123" t="s">
        <v>793</v>
      </c>
      <c r="C123">
        <v>0.2</v>
      </c>
      <c r="D123">
        <v>0.1</v>
      </c>
      <c r="E123">
        <v>0</v>
      </c>
      <c r="F123">
        <v>0.7</v>
      </c>
      <c r="G123">
        <v>6</v>
      </c>
      <c r="H123">
        <v>0.71109999999999995</v>
      </c>
      <c r="I123">
        <v>86.77</v>
      </c>
    </row>
    <row r="124" spans="1:9">
      <c r="A124" t="s">
        <v>817</v>
      </c>
      <c r="B124" t="s">
        <v>794</v>
      </c>
      <c r="C124">
        <v>0.2</v>
      </c>
      <c r="D124">
        <v>0.1</v>
      </c>
      <c r="E124">
        <v>0</v>
      </c>
      <c r="F124">
        <v>0.7</v>
      </c>
      <c r="G124">
        <v>6</v>
      </c>
      <c r="H124">
        <v>0.71109999999999995</v>
      </c>
      <c r="I124">
        <v>85.38</v>
      </c>
    </row>
    <row r="125" spans="1:9">
      <c r="A125" t="s">
        <v>818</v>
      </c>
      <c r="B125" t="s">
        <v>790</v>
      </c>
      <c r="C125">
        <v>0</v>
      </c>
      <c r="D125">
        <v>0</v>
      </c>
      <c r="E125">
        <v>0</v>
      </c>
      <c r="F125">
        <v>1</v>
      </c>
      <c r="G125">
        <v>8</v>
      </c>
      <c r="H125">
        <v>0.71109999999999995</v>
      </c>
      <c r="I125">
        <v>139.94</v>
      </c>
    </row>
    <row r="126" spans="1:9">
      <c r="A126" t="s">
        <v>818</v>
      </c>
      <c r="B126" t="s">
        <v>791</v>
      </c>
      <c r="C126">
        <v>0</v>
      </c>
      <c r="D126">
        <v>0</v>
      </c>
      <c r="E126">
        <v>0</v>
      </c>
      <c r="F126">
        <v>1</v>
      </c>
      <c r="G126">
        <v>8</v>
      </c>
      <c r="H126">
        <v>0.71109999999999995</v>
      </c>
      <c r="I126">
        <v>118.52</v>
      </c>
    </row>
    <row r="127" spans="1:9">
      <c r="A127" t="s">
        <v>818</v>
      </c>
      <c r="B127" t="s">
        <v>792</v>
      </c>
      <c r="C127">
        <v>0</v>
      </c>
      <c r="D127">
        <v>0</v>
      </c>
      <c r="E127">
        <v>0</v>
      </c>
      <c r="F127">
        <v>1</v>
      </c>
      <c r="G127">
        <v>8</v>
      </c>
      <c r="H127">
        <v>0.71109999999999995</v>
      </c>
      <c r="I127">
        <v>103.23</v>
      </c>
    </row>
    <row r="128" spans="1:9">
      <c r="A128" t="s">
        <v>818</v>
      </c>
      <c r="B128" t="s">
        <v>793</v>
      </c>
      <c r="C128">
        <v>0</v>
      </c>
      <c r="D128">
        <v>0</v>
      </c>
      <c r="E128">
        <v>0</v>
      </c>
      <c r="F128">
        <v>1</v>
      </c>
      <c r="G128">
        <v>8</v>
      </c>
      <c r="H128">
        <v>0.71109999999999995</v>
      </c>
      <c r="I128">
        <v>93.28</v>
      </c>
    </row>
    <row r="129" spans="1:9">
      <c r="A129" t="s">
        <v>818</v>
      </c>
      <c r="B129" t="s">
        <v>794</v>
      </c>
      <c r="C129">
        <v>0</v>
      </c>
      <c r="D129">
        <v>0</v>
      </c>
      <c r="E129">
        <v>0</v>
      </c>
      <c r="F129">
        <v>1</v>
      </c>
      <c r="G129">
        <v>8</v>
      </c>
      <c r="H129">
        <v>0.71109999999999995</v>
      </c>
      <c r="I129">
        <v>91.79</v>
      </c>
    </row>
    <row r="130" spans="1:9">
      <c r="A130" t="s">
        <v>819</v>
      </c>
      <c r="B130" t="s">
        <v>790</v>
      </c>
      <c r="C130">
        <v>0.45</v>
      </c>
      <c r="D130">
        <v>0.05</v>
      </c>
      <c r="E130">
        <v>0.05</v>
      </c>
      <c r="F130">
        <v>0.45</v>
      </c>
      <c r="G130">
        <v>4.3499999999999996</v>
      </c>
      <c r="H130">
        <v>0.71109999999999995</v>
      </c>
      <c r="I130">
        <v>122.68</v>
      </c>
    </row>
    <row r="131" spans="1:9">
      <c r="A131" t="s">
        <v>819</v>
      </c>
      <c r="B131" t="s">
        <v>791</v>
      </c>
      <c r="C131">
        <v>0.45</v>
      </c>
      <c r="D131">
        <v>0.05</v>
      </c>
      <c r="E131">
        <v>0.05</v>
      </c>
      <c r="F131">
        <v>0.45</v>
      </c>
      <c r="G131">
        <v>4.3499999999999996</v>
      </c>
      <c r="H131">
        <v>0.71109999999999995</v>
      </c>
      <c r="I131">
        <v>102.2</v>
      </c>
    </row>
    <row r="132" spans="1:9">
      <c r="A132" t="s">
        <v>819</v>
      </c>
      <c r="B132" t="s">
        <v>792</v>
      </c>
      <c r="C132">
        <v>0.45</v>
      </c>
      <c r="D132">
        <v>0.05</v>
      </c>
      <c r="E132">
        <v>0.05</v>
      </c>
      <c r="F132">
        <v>0.45</v>
      </c>
      <c r="G132">
        <v>4.3499999999999996</v>
      </c>
      <c r="H132">
        <v>0.71109999999999995</v>
      </c>
      <c r="I132">
        <v>89.08</v>
      </c>
    </row>
    <row r="133" spans="1:9">
      <c r="A133" t="s">
        <v>819</v>
      </c>
      <c r="B133" t="s">
        <v>793</v>
      </c>
      <c r="C133">
        <v>0.45</v>
      </c>
      <c r="D133">
        <v>0.05</v>
      </c>
      <c r="E133">
        <v>0.05</v>
      </c>
      <c r="F133">
        <v>0.45</v>
      </c>
      <c r="G133">
        <v>4.3499999999999996</v>
      </c>
      <c r="H133">
        <v>0.71109999999999995</v>
      </c>
      <c r="I133">
        <v>81.37</v>
      </c>
    </row>
    <row r="134" spans="1:9">
      <c r="A134" t="s">
        <v>819</v>
      </c>
      <c r="B134" t="s">
        <v>794</v>
      </c>
      <c r="C134">
        <v>0.45</v>
      </c>
      <c r="D134">
        <v>0.05</v>
      </c>
      <c r="E134">
        <v>0.05</v>
      </c>
      <c r="F134">
        <v>0.45</v>
      </c>
      <c r="G134">
        <v>4.3499999999999996</v>
      </c>
      <c r="H134">
        <v>0.71109999999999995</v>
      </c>
      <c r="I134">
        <v>80.069999999999993</v>
      </c>
    </row>
    <row r="135" spans="1:9">
      <c r="A135" t="s">
        <v>820</v>
      </c>
      <c r="B135" t="s">
        <v>790</v>
      </c>
      <c r="C135">
        <v>0.3</v>
      </c>
      <c r="D135">
        <v>0</v>
      </c>
      <c r="E135">
        <v>0.05</v>
      </c>
      <c r="F135">
        <v>0.65</v>
      </c>
      <c r="G135">
        <v>5.7</v>
      </c>
      <c r="H135">
        <v>0.71109999999999995</v>
      </c>
      <c r="I135">
        <v>129.06</v>
      </c>
    </row>
    <row r="136" spans="1:9">
      <c r="A136" t="s">
        <v>820</v>
      </c>
      <c r="B136" t="s">
        <v>791</v>
      </c>
      <c r="C136">
        <v>0.3</v>
      </c>
      <c r="D136">
        <v>0</v>
      </c>
      <c r="E136">
        <v>0.05</v>
      </c>
      <c r="F136">
        <v>0.65</v>
      </c>
      <c r="G136">
        <v>5.7</v>
      </c>
      <c r="H136">
        <v>0.71109999999999995</v>
      </c>
      <c r="I136">
        <v>108.23</v>
      </c>
    </row>
    <row r="137" spans="1:9">
      <c r="A137" t="s">
        <v>820</v>
      </c>
      <c r="B137" t="s">
        <v>792</v>
      </c>
      <c r="C137">
        <v>0.3</v>
      </c>
      <c r="D137">
        <v>0</v>
      </c>
      <c r="E137">
        <v>0.05</v>
      </c>
      <c r="F137">
        <v>0.65</v>
      </c>
      <c r="G137">
        <v>5.7</v>
      </c>
      <c r="H137">
        <v>0.71109999999999995</v>
      </c>
      <c r="I137">
        <v>94.31</v>
      </c>
    </row>
    <row r="138" spans="1:9">
      <c r="A138" t="s">
        <v>820</v>
      </c>
      <c r="B138" t="s">
        <v>793</v>
      </c>
      <c r="C138">
        <v>0.3</v>
      </c>
      <c r="D138">
        <v>0</v>
      </c>
      <c r="E138">
        <v>0.05</v>
      </c>
      <c r="F138">
        <v>0.65</v>
      </c>
      <c r="G138">
        <v>5.7</v>
      </c>
      <c r="H138">
        <v>0.71109999999999995</v>
      </c>
      <c r="I138">
        <v>85.77</v>
      </c>
    </row>
    <row r="139" spans="1:9">
      <c r="A139" t="s">
        <v>820</v>
      </c>
      <c r="B139" t="s">
        <v>794</v>
      </c>
      <c r="C139">
        <v>0.3</v>
      </c>
      <c r="D139">
        <v>0</v>
      </c>
      <c r="E139">
        <v>0.05</v>
      </c>
      <c r="F139">
        <v>0.65</v>
      </c>
      <c r="G139">
        <v>5.7</v>
      </c>
      <c r="H139">
        <v>0.71109999999999995</v>
      </c>
      <c r="I139">
        <v>84.4</v>
      </c>
    </row>
    <row r="140" spans="1:9">
      <c r="A140" t="s">
        <v>821</v>
      </c>
      <c r="B140" t="s">
        <v>790</v>
      </c>
      <c r="C140">
        <v>0.05</v>
      </c>
      <c r="D140">
        <v>0.1</v>
      </c>
      <c r="E140">
        <v>0</v>
      </c>
      <c r="F140">
        <v>0.85</v>
      </c>
      <c r="G140">
        <v>7.05</v>
      </c>
      <c r="H140">
        <v>0.71109999999999995</v>
      </c>
      <c r="I140">
        <v>135.49</v>
      </c>
    </row>
    <row r="141" spans="1:9">
      <c r="A141" t="s">
        <v>821</v>
      </c>
      <c r="B141" t="s">
        <v>791</v>
      </c>
      <c r="C141">
        <v>0.05</v>
      </c>
      <c r="D141">
        <v>0.1</v>
      </c>
      <c r="E141">
        <v>0</v>
      </c>
      <c r="F141">
        <v>0.85</v>
      </c>
      <c r="G141">
        <v>7.05</v>
      </c>
      <c r="H141">
        <v>0.71109999999999995</v>
      </c>
      <c r="I141">
        <v>114.31</v>
      </c>
    </row>
    <row r="142" spans="1:9">
      <c r="A142" t="s">
        <v>821</v>
      </c>
      <c r="B142" t="s">
        <v>792</v>
      </c>
      <c r="C142">
        <v>0.05</v>
      </c>
      <c r="D142">
        <v>0.1</v>
      </c>
      <c r="E142">
        <v>0</v>
      </c>
      <c r="F142">
        <v>0.85</v>
      </c>
      <c r="G142">
        <v>7.05</v>
      </c>
      <c r="H142">
        <v>0.71109999999999995</v>
      </c>
      <c r="I142">
        <v>99.58</v>
      </c>
    </row>
    <row r="143" spans="1:9">
      <c r="A143" t="s">
        <v>821</v>
      </c>
      <c r="B143" t="s">
        <v>793</v>
      </c>
      <c r="C143">
        <v>0.05</v>
      </c>
      <c r="D143">
        <v>0.1</v>
      </c>
      <c r="E143">
        <v>0</v>
      </c>
      <c r="F143">
        <v>0.85</v>
      </c>
      <c r="G143">
        <v>7.05</v>
      </c>
      <c r="H143">
        <v>0.71109999999999995</v>
      </c>
      <c r="I143">
        <v>90.21</v>
      </c>
    </row>
    <row r="144" spans="1:9">
      <c r="A144" t="s">
        <v>821</v>
      </c>
      <c r="B144" t="s">
        <v>794</v>
      </c>
      <c r="C144">
        <v>0.05</v>
      </c>
      <c r="D144">
        <v>0.1</v>
      </c>
      <c r="E144">
        <v>0</v>
      </c>
      <c r="F144">
        <v>0.85</v>
      </c>
      <c r="G144">
        <v>7.05</v>
      </c>
      <c r="H144">
        <v>0.71109999999999995</v>
      </c>
      <c r="I144">
        <v>88.77</v>
      </c>
    </row>
    <row r="145" spans="1:9">
      <c r="A145" t="s">
        <v>822</v>
      </c>
      <c r="B145" t="s">
        <v>790</v>
      </c>
      <c r="C145">
        <v>0.4</v>
      </c>
      <c r="D145">
        <v>0.05</v>
      </c>
      <c r="E145">
        <v>0.05</v>
      </c>
      <c r="F145">
        <v>0.5</v>
      </c>
      <c r="G145">
        <v>4.7</v>
      </c>
      <c r="H145">
        <v>0.71109999999999995</v>
      </c>
      <c r="I145">
        <v>124.34</v>
      </c>
    </row>
    <row r="146" spans="1:9">
      <c r="A146" t="s">
        <v>822</v>
      </c>
      <c r="B146" t="s">
        <v>791</v>
      </c>
      <c r="C146">
        <v>0.4</v>
      </c>
      <c r="D146">
        <v>0.05</v>
      </c>
      <c r="E146">
        <v>0.05</v>
      </c>
      <c r="F146">
        <v>0.5</v>
      </c>
      <c r="G146">
        <v>4.7</v>
      </c>
      <c r="H146">
        <v>0.71109999999999995</v>
      </c>
      <c r="I146">
        <v>103.77</v>
      </c>
    </row>
    <row r="147" spans="1:9">
      <c r="A147" t="s">
        <v>822</v>
      </c>
      <c r="B147" t="s">
        <v>792</v>
      </c>
      <c r="C147">
        <v>0.4</v>
      </c>
      <c r="D147">
        <v>0.05</v>
      </c>
      <c r="E147">
        <v>0.05</v>
      </c>
      <c r="F147">
        <v>0.5</v>
      </c>
      <c r="G147">
        <v>4.7</v>
      </c>
      <c r="H147">
        <v>0.71109999999999995</v>
      </c>
      <c r="I147">
        <v>90.45</v>
      </c>
    </row>
    <row r="148" spans="1:9">
      <c r="A148" t="s">
        <v>822</v>
      </c>
      <c r="B148" t="s">
        <v>793</v>
      </c>
      <c r="C148">
        <v>0.4</v>
      </c>
      <c r="D148">
        <v>0.05</v>
      </c>
      <c r="E148">
        <v>0.05</v>
      </c>
      <c r="F148">
        <v>0.5</v>
      </c>
      <c r="G148">
        <v>4.7</v>
      </c>
      <c r="H148">
        <v>0.71109999999999995</v>
      </c>
      <c r="I148">
        <v>82.51</v>
      </c>
    </row>
    <row r="149" spans="1:9">
      <c r="A149" t="s">
        <v>822</v>
      </c>
      <c r="B149" t="s">
        <v>794</v>
      </c>
      <c r="C149">
        <v>0.4</v>
      </c>
      <c r="D149">
        <v>0.05</v>
      </c>
      <c r="E149">
        <v>0.05</v>
      </c>
      <c r="F149">
        <v>0.5</v>
      </c>
      <c r="G149">
        <v>4.7</v>
      </c>
      <c r="H149">
        <v>0.71109999999999995</v>
      </c>
      <c r="I149">
        <v>81.2</v>
      </c>
    </row>
    <row r="150" spans="1:9">
      <c r="A150" t="s">
        <v>823</v>
      </c>
      <c r="B150" t="s">
        <v>790</v>
      </c>
      <c r="C150">
        <v>0.25</v>
      </c>
      <c r="D150">
        <v>0</v>
      </c>
      <c r="E150">
        <v>0.05</v>
      </c>
      <c r="F150">
        <v>0.7</v>
      </c>
      <c r="G150">
        <v>6.05</v>
      </c>
      <c r="H150">
        <v>0.71109999999999995</v>
      </c>
      <c r="I150">
        <v>130.72</v>
      </c>
    </row>
    <row r="151" spans="1:9">
      <c r="A151" t="s">
        <v>823</v>
      </c>
      <c r="B151" t="s">
        <v>791</v>
      </c>
      <c r="C151">
        <v>0.25</v>
      </c>
      <c r="D151">
        <v>0</v>
      </c>
      <c r="E151">
        <v>0.05</v>
      </c>
      <c r="F151">
        <v>0.7</v>
      </c>
      <c r="G151">
        <v>6.05</v>
      </c>
      <c r="H151">
        <v>0.71109999999999995</v>
      </c>
      <c r="I151">
        <v>109.8</v>
      </c>
    </row>
    <row r="152" spans="1:9">
      <c r="A152" t="s">
        <v>823</v>
      </c>
      <c r="B152" t="s">
        <v>792</v>
      </c>
      <c r="C152">
        <v>0.25</v>
      </c>
      <c r="D152">
        <v>0</v>
      </c>
      <c r="E152">
        <v>0.05</v>
      </c>
      <c r="F152">
        <v>0.7</v>
      </c>
      <c r="G152">
        <v>6.05</v>
      </c>
      <c r="H152">
        <v>0.71109999999999995</v>
      </c>
      <c r="I152">
        <v>95.67</v>
      </c>
    </row>
    <row r="153" spans="1:9">
      <c r="A153" t="s">
        <v>823</v>
      </c>
      <c r="B153" t="s">
        <v>793</v>
      </c>
      <c r="C153">
        <v>0.25</v>
      </c>
      <c r="D153">
        <v>0</v>
      </c>
      <c r="E153">
        <v>0.05</v>
      </c>
      <c r="F153">
        <v>0.7</v>
      </c>
      <c r="G153">
        <v>6.05</v>
      </c>
      <c r="H153">
        <v>0.71109999999999995</v>
      </c>
      <c r="I153">
        <v>86.92</v>
      </c>
    </row>
    <row r="154" spans="1:9">
      <c r="A154" t="s">
        <v>823</v>
      </c>
      <c r="B154" t="s">
        <v>794</v>
      </c>
      <c r="C154">
        <v>0.25</v>
      </c>
      <c r="D154">
        <v>0</v>
      </c>
      <c r="E154">
        <v>0.05</v>
      </c>
      <c r="F154">
        <v>0.7</v>
      </c>
      <c r="G154">
        <v>6.05</v>
      </c>
      <c r="H154">
        <v>0.71109999999999995</v>
      </c>
      <c r="I154">
        <v>85.53</v>
      </c>
    </row>
    <row r="155" spans="1:9">
      <c r="A155" t="s">
        <v>824</v>
      </c>
      <c r="B155" t="s">
        <v>790</v>
      </c>
      <c r="C155">
        <v>0</v>
      </c>
      <c r="D155">
        <v>0.1</v>
      </c>
      <c r="E155">
        <v>0</v>
      </c>
      <c r="F155">
        <v>0.9</v>
      </c>
      <c r="G155">
        <v>7.4</v>
      </c>
      <c r="H155">
        <v>0.71109999999999995</v>
      </c>
      <c r="I155">
        <v>137.16</v>
      </c>
    </row>
    <row r="156" spans="1:9">
      <c r="A156" t="s">
        <v>824</v>
      </c>
      <c r="B156" t="s">
        <v>791</v>
      </c>
      <c r="C156">
        <v>0</v>
      </c>
      <c r="D156">
        <v>0.1</v>
      </c>
      <c r="E156">
        <v>0</v>
      </c>
      <c r="F156">
        <v>0.9</v>
      </c>
      <c r="G156">
        <v>7.4</v>
      </c>
      <c r="H156">
        <v>0.71109999999999995</v>
      </c>
      <c r="I156">
        <v>115.89</v>
      </c>
    </row>
    <row r="157" spans="1:9">
      <c r="A157" t="s">
        <v>824</v>
      </c>
      <c r="B157" t="s">
        <v>792</v>
      </c>
      <c r="C157">
        <v>0</v>
      </c>
      <c r="D157">
        <v>0.1</v>
      </c>
      <c r="E157">
        <v>0</v>
      </c>
      <c r="F157">
        <v>0.9</v>
      </c>
      <c r="G157">
        <v>7.4</v>
      </c>
      <c r="H157">
        <v>0.71109999999999995</v>
      </c>
      <c r="I157">
        <v>100.95</v>
      </c>
    </row>
    <row r="158" spans="1:9">
      <c r="A158" t="s">
        <v>824</v>
      </c>
      <c r="B158" t="s">
        <v>793</v>
      </c>
      <c r="C158">
        <v>0</v>
      </c>
      <c r="D158">
        <v>0.1</v>
      </c>
      <c r="E158">
        <v>0</v>
      </c>
      <c r="F158">
        <v>0.9</v>
      </c>
      <c r="G158">
        <v>7.4</v>
      </c>
      <c r="H158">
        <v>0.71109999999999995</v>
      </c>
      <c r="I158">
        <v>91.36</v>
      </c>
    </row>
    <row r="159" spans="1:9">
      <c r="A159" t="s">
        <v>824</v>
      </c>
      <c r="B159" t="s">
        <v>794</v>
      </c>
      <c r="C159">
        <v>0</v>
      </c>
      <c r="D159">
        <v>0.1</v>
      </c>
      <c r="E159">
        <v>0</v>
      </c>
      <c r="F159">
        <v>0.9</v>
      </c>
      <c r="G159">
        <v>7.4</v>
      </c>
      <c r="H159">
        <v>0.71109999999999995</v>
      </c>
      <c r="I159">
        <v>89.9</v>
      </c>
    </row>
    <row r="160" spans="1:9">
      <c r="A160" t="s">
        <v>825</v>
      </c>
      <c r="B160" t="s">
        <v>790</v>
      </c>
      <c r="C160">
        <v>0.35</v>
      </c>
      <c r="D160">
        <v>0.05</v>
      </c>
      <c r="E160">
        <v>0.05</v>
      </c>
      <c r="F160">
        <v>0.55000000000000004</v>
      </c>
      <c r="G160">
        <v>5.05</v>
      </c>
      <c r="H160">
        <v>0.71109999999999995</v>
      </c>
      <c r="I160">
        <v>126</v>
      </c>
    </row>
    <row r="161" spans="1:9">
      <c r="A161" t="s">
        <v>825</v>
      </c>
      <c r="B161" t="s">
        <v>791</v>
      </c>
      <c r="C161">
        <v>0.35</v>
      </c>
      <c r="D161">
        <v>0.05</v>
      </c>
      <c r="E161">
        <v>0.05</v>
      </c>
      <c r="F161">
        <v>0.55000000000000004</v>
      </c>
      <c r="G161">
        <v>5.05</v>
      </c>
      <c r="H161">
        <v>0.71109999999999995</v>
      </c>
      <c r="I161">
        <v>105.34</v>
      </c>
    </row>
    <row r="162" spans="1:9">
      <c r="A162" t="s">
        <v>825</v>
      </c>
      <c r="B162" t="s">
        <v>792</v>
      </c>
      <c r="C162">
        <v>0.35</v>
      </c>
      <c r="D162">
        <v>0.05</v>
      </c>
      <c r="E162">
        <v>0.05</v>
      </c>
      <c r="F162">
        <v>0.55000000000000004</v>
      </c>
      <c r="G162">
        <v>5.05</v>
      </c>
      <c r="H162">
        <v>0.71109999999999995</v>
      </c>
      <c r="I162">
        <v>91.81</v>
      </c>
    </row>
    <row r="163" spans="1:9">
      <c r="A163" t="s">
        <v>825</v>
      </c>
      <c r="B163" t="s">
        <v>793</v>
      </c>
      <c r="C163">
        <v>0.35</v>
      </c>
      <c r="D163">
        <v>0.05</v>
      </c>
      <c r="E163">
        <v>0.05</v>
      </c>
      <c r="F163">
        <v>0.55000000000000004</v>
      </c>
      <c r="G163">
        <v>5.05</v>
      </c>
      <c r="H163">
        <v>0.71109999999999995</v>
      </c>
      <c r="I163">
        <v>83.66</v>
      </c>
    </row>
    <row r="164" spans="1:9">
      <c r="A164" t="s">
        <v>825</v>
      </c>
      <c r="B164" t="s">
        <v>794</v>
      </c>
      <c r="C164">
        <v>0.35</v>
      </c>
      <c r="D164">
        <v>0.05</v>
      </c>
      <c r="E164">
        <v>0.05</v>
      </c>
      <c r="F164">
        <v>0.55000000000000004</v>
      </c>
      <c r="G164">
        <v>5.05</v>
      </c>
      <c r="H164">
        <v>0.71109999999999995</v>
      </c>
      <c r="I164">
        <v>82.33</v>
      </c>
    </row>
    <row r="165" spans="1:9">
      <c r="A165" t="s">
        <v>826</v>
      </c>
      <c r="B165" t="s">
        <v>790</v>
      </c>
      <c r="C165">
        <v>0.15</v>
      </c>
      <c r="D165">
        <v>0.1</v>
      </c>
      <c r="E165">
        <v>0</v>
      </c>
      <c r="F165">
        <v>0.75</v>
      </c>
      <c r="G165">
        <v>6.35</v>
      </c>
      <c r="H165">
        <v>0.71109999999999995</v>
      </c>
      <c r="I165">
        <v>132.16999999999999</v>
      </c>
    </row>
    <row r="166" spans="1:9">
      <c r="A166" t="s">
        <v>826</v>
      </c>
      <c r="B166" t="s">
        <v>791</v>
      </c>
      <c r="C166">
        <v>0.15</v>
      </c>
      <c r="D166">
        <v>0.1</v>
      </c>
      <c r="E166">
        <v>0</v>
      </c>
      <c r="F166">
        <v>0.75</v>
      </c>
      <c r="G166">
        <v>6.35</v>
      </c>
      <c r="H166">
        <v>0.71109999999999995</v>
      </c>
      <c r="I166">
        <v>111.17</v>
      </c>
    </row>
    <row r="167" spans="1:9">
      <c r="A167" t="s">
        <v>826</v>
      </c>
      <c r="B167" t="s">
        <v>792</v>
      </c>
      <c r="C167">
        <v>0.15</v>
      </c>
      <c r="D167">
        <v>0.1</v>
      </c>
      <c r="E167">
        <v>0</v>
      </c>
      <c r="F167">
        <v>0.75</v>
      </c>
      <c r="G167">
        <v>6.35</v>
      </c>
      <c r="H167">
        <v>0.71109999999999995</v>
      </c>
      <c r="I167">
        <v>96.86</v>
      </c>
    </row>
    <row r="168" spans="1:9">
      <c r="A168" t="s">
        <v>826</v>
      </c>
      <c r="B168" t="s">
        <v>793</v>
      </c>
      <c r="C168">
        <v>0.15</v>
      </c>
      <c r="D168">
        <v>0.1</v>
      </c>
      <c r="E168">
        <v>0</v>
      </c>
      <c r="F168">
        <v>0.75</v>
      </c>
      <c r="G168">
        <v>6.35</v>
      </c>
      <c r="H168">
        <v>0.71109999999999995</v>
      </c>
      <c r="I168">
        <v>87.92</v>
      </c>
    </row>
    <row r="169" spans="1:9">
      <c r="A169" t="s">
        <v>826</v>
      </c>
      <c r="B169" t="s">
        <v>794</v>
      </c>
      <c r="C169">
        <v>0.15</v>
      </c>
      <c r="D169">
        <v>0.1</v>
      </c>
      <c r="E169">
        <v>0</v>
      </c>
      <c r="F169">
        <v>0.75</v>
      </c>
      <c r="G169">
        <v>6.35</v>
      </c>
      <c r="H169">
        <v>0.71109999999999995</v>
      </c>
      <c r="I169">
        <v>86.51</v>
      </c>
    </row>
    <row r="170" spans="1:9">
      <c r="A170" t="s">
        <v>827</v>
      </c>
      <c r="B170" t="s">
        <v>790</v>
      </c>
      <c r="C170">
        <v>0</v>
      </c>
      <c r="D170">
        <v>0.05</v>
      </c>
      <c r="E170">
        <v>0</v>
      </c>
      <c r="F170">
        <v>0.95</v>
      </c>
      <c r="G170">
        <v>7.7</v>
      </c>
      <c r="H170">
        <v>0.71109999999999995</v>
      </c>
      <c r="I170">
        <v>138.55000000000001</v>
      </c>
    </row>
    <row r="171" spans="1:9">
      <c r="A171" t="s">
        <v>827</v>
      </c>
      <c r="B171" t="s">
        <v>791</v>
      </c>
      <c r="C171">
        <v>0</v>
      </c>
      <c r="D171">
        <v>0.05</v>
      </c>
      <c r="E171">
        <v>0</v>
      </c>
      <c r="F171">
        <v>0.95</v>
      </c>
      <c r="G171">
        <v>7.7</v>
      </c>
      <c r="H171">
        <v>0.71109999999999995</v>
      </c>
      <c r="I171">
        <v>117.2</v>
      </c>
    </row>
    <row r="172" spans="1:9">
      <c r="A172" t="s">
        <v>827</v>
      </c>
      <c r="B172" t="s">
        <v>792</v>
      </c>
      <c r="C172">
        <v>0</v>
      </c>
      <c r="D172">
        <v>0.05</v>
      </c>
      <c r="E172">
        <v>0</v>
      </c>
      <c r="F172">
        <v>0.95</v>
      </c>
      <c r="G172">
        <v>7.7</v>
      </c>
      <c r="H172">
        <v>0.71109999999999995</v>
      </c>
      <c r="I172">
        <v>102.09</v>
      </c>
    </row>
    <row r="173" spans="1:9">
      <c r="A173" t="s">
        <v>827</v>
      </c>
      <c r="B173" t="s">
        <v>793</v>
      </c>
      <c r="C173">
        <v>0</v>
      </c>
      <c r="D173">
        <v>0.05</v>
      </c>
      <c r="E173">
        <v>0</v>
      </c>
      <c r="F173">
        <v>0.95</v>
      </c>
      <c r="G173">
        <v>7.7</v>
      </c>
      <c r="H173">
        <v>0.71109999999999995</v>
      </c>
      <c r="I173">
        <v>92.32</v>
      </c>
    </row>
    <row r="174" spans="1:9">
      <c r="A174" t="s">
        <v>827</v>
      </c>
      <c r="B174" t="s">
        <v>794</v>
      </c>
      <c r="C174">
        <v>0</v>
      </c>
      <c r="D174">
        <v>0.05</v>
      </c>
      <c r="E174">
        <v>0</v>
      </c>
      <c r="F174">
        <v>0.95</v>
      </c>
      <c r="G174">
        <v>7.7</v>
      </c>
      <c r="H174">
        <v>0.71109999999999995</v>
      </c>
      <c r="I174">
        <v>90.84</v>
      </c>
    </row>
    <row r="175" spans="1:9">
      <c r="A175" t="s">
        <v>828</v>
      </c>
      <c r="B175" t="s">
        <v>790</v>
      </c>
      <c r="C175">
        <v>0.25</v>
      </c>
      <c r="D175">
        <v>0</v>
      </c>
      <c r="E175">
        <v>0.05</v>
      </c>
      <c r="F175">
        <v>0.7</v>
      </c>
      <c r="G175">
        <v>6.05</v>
      </c>
      <c r="H175">
        <v>0.71109999999999995</v>
      </c>
      <c r="I175">
        <v>128.08000000000001</v>
      </c>
    </row>
    <row r="176" spans="1:9">
      <c r="A176" t="s">
        <v>828</v>
      </c>
      <c r="B176" t="s">
        <v>791</v>
      </c>
      <c r="C176">
        <v>0.25</v>
      </c>
      <c r="D176">
        <v>0</v>
      </c>
      <c r="E176">
        <v>0.05</v>
      </c>
      <c r="F176">
        <v>0.7</v>
      </c>
      <c r="G176">
        <v>6.05</v>
      </c>
      <c r="H176">
        <v>0.71109999999999995</v>
      </c>
      <c r="I176">
        <v>107.31</v>
      </c>
    </row>
    <row r="177" spans="1:9">
      <c r="A177" t="s">
        <v>828</v>
      </c>
      <c r="B177" t="s">
        <v>792</v>
      </c>
      <c r="C177">
        <v>0.25</v>
      </c>
      <c r="D177">
        <v>0</v>
      </c>
      <c r="E177">
        <v>0.05</v>
      </c>
      <c r="F177">
        <v>0.7</v>
      </c>
      <c r="G177">
        <v>6.05</v>
      </c>
      <c r="H177">
        <v>0.71109999999999995</v>
      </c>
      <c r="I177">
        <v>93.51</v>
      </c>
    </row>
    <row r="178" spans="1:9">
      <c r="A178" t="s">
        <v>828</v>
      </c>
      <c r="B178" t="s">
        <v>793</v>
      </c>
      <c r="C178">
        <v>0.25</v>
      </c>
      <c r="D178">
        <v>0</v>
      </c>
      <c r="E178">
        <v>0.05</v>
      </c>
      <c r="F178">
        <v>0.7</v>
      </c>
      <c r="G178">
        <v>6.05</v>
      </c>
      <c r="H178">
        <v>0.71109999999999995</v>
      </c>
      <c r="I178">
        <v>85.08</v>
      </c>
    </row>
    <row r="179" spans="1:9">
      <c r="A179" t="s">
        <v>828</v>
      </c>
      <c r="B179" t="s">
        <v>794</v>
      </c>
      <c r="C179">
        <v>0.25</v>
      </c>
      <c r="D179">
        <v>0</v>
      </c>
      <c r="E179">
        <v>0.05</v>
      </c>
      <c r="F179">
        <v>0.7</v>
      </c>
      <c r="G179">
        <v>6.05</v>
      </c>
      <c r="H179">
        <v>0.71109999999999995</v>
      </c>
      <c r="I179">
        <v>83.72</v>
      </c>
    </row>
    <row r="180" spans="1:9">
      <c r="A180" t="s">
        <v>829</v>
      </c>
      <c r="B180" t="s">
        <v>790</v>
      </c>
      <c r="C180">
        <v>0.25</v>
      </c>
      <c r="D180">
        <v>0</v>
      </c>
      <c r="E180">
        <v>0.05</v>
      </c>
      <c r="F180">
        <v>0.7</v>
      </c>
      <c r="G180">
        <v>6.05</v>
      </c>
      <c r="H180">
        <v>0.71109999999999995</v>
      </c>
      <c r="I180">
        <v>127.55</v>
      </c>
    </row>
    <row r="181" spans="1:9">
      <c r="A181" t="s">
        <v>829</v>
      </c>
      <c r="B181" t="s">
        <v>791</v>
      </c>
      <c r="C181">
        <v>0.25</v>
      </c>
      <c r="D181">
        <v>0</v>
      </c>
      <c r="E181">
        <v>0.05</v>
      </c>
      <c r="F181">
        <v>0.7</v>
      </c>
      <c r="G181">
        <v>6.05</v>
      </c>
      <c r="H181">
        <v>0.71109999999999995</v>
      </c>
      <c r="I181">
        <v>106.82</v>
      </c>
    </row>
    <row r="182" spans="1:9">
      <c r="A182" t="s">
        <v>829</v>
      </c>
      <c r="B182" t="s">
        <v>792</v>
      </c>
      <c r="C182">
        <v>0.25</v>
      </c>
      <c r="D182">
        <v>0</v>
      </c>
      <c r="E182">
        <v>0.05</v>
      </c>
      <c r="F182">
        <v>0.7</v>
      </c>
      <c r="G182">
        <v>6.05</v>
      </c>
      <c r="H182">
        <v>0.71109999999999995</v>
      </c>
      <c r="I182">
        <v>93.08</v>
      </c>
    </row>
    <row r="183" spans="1:9">
      <c r="A183" t="s">
        <v>829</v>
      </c>
      <c r="B183" t="s">
        <v>793</v>
      </c>
      <c r="C183">
        <v>0.25</v>
      </c>
      <c r="D183">
        <v>0</v>
      </c>
      <c r="E183">
        <v>0.05</v>
      </c>
      <c r="F183">
        <v>0.7</v>
      </c>
      <c r="G183">
        <v>6.05</v>
      </c>
      <c r="H183">
        <v>0.71109999999999995</v>
      </c>
      <c r="I183">
        <v>84.71</v>
      </c>
    </row>
    <row r="184" spans="1:9">
      <c r="A184" t="s">
        <v>829</v>
      </c>
      <c r="B184" t="s">
        <v>794</v>
      </c>
      <c r="C184">
        <v>0.25</v>
      </c>
      <c r="D184">
        <v>0</v>
      </c>
      <c r="E184">
        <v>0.05</v>
      </c>
      <c r="F184">
        <v>0.7</v>
      </c>
      <c r="G184">
        <v>6.05</v>
      </c>
      <c r="H184">
        <v>0.71109999999999995</v>
      </c>
      <c r="I184">
        <v>83.36</v>
      </c>
    </row>
    <row r="185" spans="1:9">
      <c r="A185" t="s">
        <v>830</v>
      </c>
      <c r="B185" t="s">
        <v>790</v>
      </c>
      <c r="C185">
        <v>0.25</v>
      </c>
      <c r="D185">
        <v>0</v>
      </c>
      <c r="E185">
        <v>0.05</v>
      </c>
      <c r="F185">
        <v>0.7</v>
      </c>
      <c r="G185">
        <v>6.05</v>
      </c>
      <c r="H185">
        <v>0.71109999999999995</v>
      </c>
      <c r="I185">
        <v>126.9</v>
      </c>
    </row>
    <row r="186" spans="1:9">
      <c r="A186" t="s">
        <v>830</v>
      </c>
      <c r="B186" t="s">
        <v>791</v>
      </c>
      <c r="C186">
        <v>0.25</v>
      </c>
      <c r="D186">
        <v>0</v>
      </c>
      <c r="E186">
        <v>0.05</v>
      </c>
      <c r="F186">
        <v>0.7</v>
      </c>
      <c r="G186">
        <v>6.05</v>
      </c>
      <c r="H186">
        <v>0.71109999999999995</v>
      </c>
      <c r="I186">
        <v>106.2</v>
      </c>
    </row>
    <row r="187" spans="1:9">
      <c r="A187" t="s">
        <v>830</v>
      </c>
      <c r="B187" t="s">
        <v>792</v>
      </c>
      <c r="C187">
        <v>0.25</v>
      </c>
      <c r="D187">
        <v>0</v>
      </c>
      <c r="E187">
        <v>0.05</v>
      </c>
      <c r="F187">
        <v>0.7</v>
      </c>
      <c r="G187">
        <v>6.05</v>
      </c>
      <c r="H187">
        <v>0.71109999999999995</v>
      </c>
      <c r="I187">
        <v>92.55</v>
      </c>
    </row>
    <row r="188" spans="1:9">
      <c r="A188" t="s">
        <v>830</v>
      </c>
      <c r="B188" t="s">
        <v>793</v>
      </c>
      <c r="C188">
        <v>0.25</v>
      </c>
      <c r="D188">
        <v>0</v>
      </c>
      <c r="E188">
        <v>0.05</v>
      </c>
      <c r="F188">
        <v>0.7</v>
      </c>
      <c r="G188">
        <v>6.05</v>
      </c>
      <c r="H188">
        <v>0.71109999999999995</v>
      </c>
      <c r="I188">
        <v>84.25</v>
      </c>
    </row>
    <row r="189" spans="1:9">
      <c r="A189" t="s">
        <v>830</v>
      </c>
      <c r="B189" t="s">
        <v>794</v>
      </c>
      <c r="C189">
        <v>0.25</v>
      </c>
      <c r="D189">
        <v>0</v>
      </c>
      <c r="E189">
        <v>0.05</v>
      </c>
      <c r="F189">
        <v>0.7</v>
      </c>
      <c r="G189">
        <v>6.05</v>
      </c>
      <c r="H189">
        <v>0.71109999999999995</v>
      </c>
      <c r="I189">
        <v>82.92</v>
      </c>
    </row>
    <row r="190" spans="1:9">
      <c r="A190" t="s">
        <v>831</v>
      </c>
      <c r="B190" t="s">
        <v>790</v>
      </c>
      <c r="C190">
        <v>0.25</v>
      </c>
      <c r="D190">
        <v>0</v>
      </c>
      <c r="E190">
        <v>0.05</v>
      </c>
      <c r="F190">
        <v>0.7</v>
      </c>
      <c r="G190">
        <v>6.05</v>
      </c>
      <c r="H190">
        <v>0.71109999999999995</v>
      </c>
      <c r="I190">
        <v>131.78</v>
      </c>
    </row>
    <row r="191" spans="1:9">
      <c r="A191" t="s">
        <v>831</v>
      </c>
      <c r="B191" t="s">
        <v>791</v>
      </c>
      <c r="C191">
        <v>0.25</v>
      </c>
      <c r="D191">
        <v>0</v>
      </c>
      <c r="E191">
        <v>0.05</v>
      </c>
      <c r="F191">
        <v>0.7</v>
      </c>
      <c r="G191">
        <v>6.05</v>
      </c>
      <c r="H191">
        <v>0.71109999999999995</v>
      </c>
      <c r="I191">
        <v>110.8</v>
      </c>
    </row>
    <row r="192" spans="1:9">
      <c r="A192" t="s">
        <v>831</v>
      </c>
      <c r="B192" t="s">
        <v>792</v>
      </c>
      <c r="C192">
        <v>0.25</v>
      </c>
      <c r="D192">
        <v>0</v>
      </c>
      <c r="E192">
        <v>0.05</v>
      </c>
      <c r="F192">
        <v>0.7</v>
      </c>
      <c r="G192">
        <v>6.05</v>
      </c>
      <c r="H192">
        <v>0.71109999999999995</v>
      </c>
      <c r="I192">
        <v>96.54</v>
      </c>
    </row>
    <row r="193" spans="1:9">
      <c r="A193" t="s">
        <v>831</v>
      </c>
      <c r="B193" t="s">
        <v>793</v>
      </c>
      <c r="C193">
        <v>0.25</v>
      </c>
      <c r="D193">
        <v>0</v>
      </c>
      <c r="E193">
        <v>0.05</v>
      </c>
      <c r="F193">
        <v>0.7</v>
      </c>
      <c r="G193">
        <v>6.05</v>
      </c>
      <c r="H193">
        <v>0.71109999999999995</v>
      </c>
      <c r="I193">
        <v>87.65</v>
      </c>
    </row>
    <row r="194" spans="1:9">
      <c r="A194" t="s">
        <v>831</v>
      </c>
      <c r="B194" t="s">
        <v>794</v>
      </c>
      <c r="C194">
        <v>0.25</v>
      </c>
      <c r="D194">
        <v>0</v>
      </c>
      <c r="E194">
        <v>0.05</v>
      </c>
      <c r="F194">
        <v>0.7</v>
      </c>
      <c r="G194">
        <v>6.05</v>
      </c>
      <c r="H194">
        <v>0.71109999999999995</v>
      </c>
      <c r="I194">
        <v>86.25</v>
      </c>
    </row>
    <row r="195" spans="1:9">
      <c r="A195" t="s">
        <v>832</v>
      </c>
      <c r="B195" t="s">
        <v>790</v>
      </c>
      <c r="C195">
        <v>0.25</v>
      </c>
      <c r="D195">
        <v>0</v>
      </c>
      <c r="E195">
        <v>0.05</v>
      </c>
      <c r="F195">
        <v>0.7</v>
      </c>
      <c r="G195">
        <v>6.05</v>
      </c>
      <c r="H195">
        <v>0.71109999999999995</v>
      </c>
      <c r="I195">
        <v>130.72</v>
      </c>
    </row>
    <row r="196" spans="1:9">
      <c r="A196" t="s">
        <v>832</v>
      </c>
      <c r="B196" t="s">
        <v>791</v>
      </c>
      <c r="C196">
        <v>0.25</v>
      </c>
      <c r="D196">
        <v>0</v>
      </c>
      <c r="E196">
        <v>0.05</v>
      </c>
      <c r="F196">
        <v>0.7</v>
      </c>
      <c r="G196">
        <v>6.05</v>
      </c>
      <c r="H196">
        <v>0.71109999999999995</v>
      </c>
      <c r="I196">
        <v>109.8</v>
      </c>
    </row>
    <row r="197" spans="1:9">
      <c r="A197" t="s">
        <v>832</v>
      </c>
      <c r="B197" t="s">
        <v>792</v>
      </c>
      <c r="C197">
        <v>0.25</v>
      </c>
      <c r="D197">
        <v>0</v>
      </c>
      <c r="E197">
        <v>0.05</v>
      </c>
      <c r="F197">
        <v>0.7</v>
      </c>
      <c r="G197">
        <v>6.05</v>
      </c>
      <c r="H197">
        <v>0.71109999999999995</v>
      </c>
      <c r="I197">
        <v>95.67</v>
      </c>
    </row>
    <row r="198" spans="1:9">
      <c r="A198" t="s">
        <v>832</v>
      </c>
      <c r="B198" t="s">
        <v>793</v>
      </c>
      <c r="C198">
        <v>0.25</v>
      </c>
      <c r="D198">
        <v>0</v>
      </c>
      <c r="E198">
        <v>0.05</v>
      </c>
      <c r="F198">
        <v>0.7</v>
      </c>
      <c r="G198">
        <v>6.05</v>
      </c>
      <c r="H198">
        <v>0.71109999999999995</v>
      </c>
      <c r="I198">
        <v>86.92</v>
      </c>
    </row>
    <row r="199" spans="1:9">
      <c r="A199" t="s">
        <v>832</v>
      </c>
      <c r="B199" t="s">
        <v>794</v>
      </c>
      <c r="C199">
        <v>0.25</v>
      </c>
      <c r="D199">
        <v>0</v>
      </c>
      <c r="E199">
        <v>0.05</v>
      </c>
      <c r="F199">
        <v>0.7</v>
      </c>
      <c r="G199">
        <v>6.05</v>
      </c>
      <c r="H199">
        <v>0.71109999999999995</v>
      </c>
      <c r="I199">
        <v>85.53</v>
      </c>
    </row>
    <row r="200" spans="1:9">
      <c r="A200" t="s">
        <v>833</v>
      </c>
      <c r="B200" t="s">
        <v>790</v>
      </c>
      <c r="C200">
        <v>0.25</v>
      </c>
      <c r="D200">
        <v>0</v>
      </c>
      <c r="E200">
        <v>0.05</v>
      </c>
      <c r="F200">
        <v>0.7</v>
      </c>
      <c r="G200">
        <v>6.05</v>
      </c>
      <c r="H200">
        <v>0.71109999999999995</v>
      </c>
      <c r="I200">
        <v>129.41999999999999</v>
      </c>
    </row>
    <row r="201" spans="1:9">
      <c r="A201" t="s">
        <v>833</v>
      </c>
      <c r="B201" t="s">
        <v>791</v>
      </c>
      <c r="C201">
        <v>0.25</v>
      </c>
      <c r="D201">
        <v>0</v>
      </c>
      <c r="E201">
        <v>0.05</v>
      </c>
      <c r="F201">
        <v>0.7</v>
      </c>
      <c r="G201">
        <v>6.05</v>
      </c>
      <c r="H201">
        <v>0.71109999999999995</v>
      </c>
      <c r="I201">
        <v>108.57</v>
      </c>
    </row>
    <row r="202" spans="1:9">
      <c r="A202" t="s">
        <v>833</v>
      </c>
      <c r="B202" t="s">
        <v>792</v>
      </c>
      <c r="C202">
        <v>0.25</v>
      </c>
      <c r="D202">
        <v>0</v>
      </c>
      <c r="E202">
        <v>0.05</v>
      </c>
      <c r="F202">
        <v>0.7</v>
      </c>
      <c r="G202">
        <v>6.05</v>
      </c>
      <c r="H202">
        <v>0.71109999999999995</v>
      </c>
      <c r="I202">
        <v>94.61</v>
      </c>
    </row>
    <row r="203" spans="1:9">
      <c r="A203" t="s">
        <v>833</v>
      </c>
      <c r="B203" t="s">
        <v>793</v>
      </c>
      <c r="C203">
        <v>0.25</v>
      </c>
      <c r="D203">
        <v>0</v>
      </c>
      <c r="E203">
        <v>0.05</v>
      </c>
      <c r="F203">
        <v>0.7</v>
      </c>
      <c r="G203">
        <v>6.05</v>
      </c>
      <c r="H203">
        <v>0.71109999999999995</v>
      </c>
      <c r="I203">
        <v>86.01</v>
      </c>
    </row>
    <row r="204" spans="1:9">
      <c r="A204" t="s">
        <v>833</v>
      </c>
      <c r="B204" t="s">
        <v>794</v>
      </c>
      <c r="C204">
        <v>0.25</v>
      </c>
      <c r="D204">
        <v>0</v>
      </c>
      <c r="E204">
        <v>0.05</v>
      </c>
      <c r="F204">
        <v>0.7</v>
      </c>
      <c r="G204">
        <v>6.05</v>
      </c>
      <c r="H204">
        <v>0.71109999999999995</v>
      </c>
      <c r="I204">
        <v>84.64</v>
      </c>
    </row>
    <row r="205" spans="1:9">
      <c r="A205" t="s">
        <v>834</v>
      </c>
      <c r="B205" t="s">
        <v>790</v>
      </c>
      <c r="C205">
        <v>0.25</v>
      </c>
      <c r="D205">
        <v>0</v>
      </c>
      <c r="E205">
        <v>0.05</v>
      </c>
      <c r="F205">
        <v>0.7</v>
      </c>
      <c r="G205">
        <v>6.05</v>
      </c>
      <c r="H205">
        <v>0.71109999999999995</v>
      </c>
      <c r="I205">
        <v>135.47</v>
      </c>
    </row>
    <row r="206" spans="1:9">
      <c r="A206" t="s">
        <v>834</v>
      </c>
      <c r="B206" t="s">
        <v>791</v>
      </c>
      <c r="C206">
        <v>0.25</v>
      </c>
      <c r="D206">
        <v>0</v>
      </c>
      <c r="E206">
        <v>0.05</v>
      </c>
      <c r="F206">
        <v>0.7</v>
      </c>
      <c r="G206">
        <v>6.05</v>
      </c>
      <c r="H206">
        <v>0.71109999999999995</v>
      </c>
      <c r="I206">
        <v>114.28</v>
      </c>
    </row>
    <row r="207" spans="1:9">
      <c r="A207" t="s">
        <v>834</v>
      </c>
      <c r="B207" t="s">
        <v>792</v>
      </c>
      <c r="C207">
        <v>0.25</v>
      </c>
      <c r="D207">
        <v>0</v>
      </c>
      <c r="E207">
        <v>0.05</v>
      </c>
      <c r="F207">
        <v>0.7</v>
      </c>
      <c r="G207">
        <v>6.05</v>
      </c>
      <c r="H207">
        <v>0.71109999999999995</v>
      </c>
      <c r="I207">
        <v>99.56</v>
      </c>
    </row>
    <row r="208" spans="1:9">
      <c r="A208" t="s">
        <v>834</v>
      </c>
      <c r="B208" t="s">
        <v>793</v>
      </c>
      <c r="C208">
        <v>0.25</v>
      </c>
      <c r="D208">
        <v>0</v>
      </c>
      <c r="E208">
        <v>0.05</v>
      </c>
      <c r="F208">
        <v>0.7</v>
      </c>
      <c r="G208">
        <v>6.05</v>
      </c>
      <c r="H208">
        <v>0.71109999999999995</v>
      </c>
      <c r="I208">
        <v>90.23</v>
      </c>
    </row>
    <row r="209" spans="1:9">
      <c r="A209" t="s">
        <v>834</v>
      </c>
      <c r="B209" t="s">
        <v>794</v>
      </c>
      <c r="C209">
        <v>0.25</v>
      </c>
      <c r="D209">
        <v>0</v>
      </c>
      <c r="E209">
        <v>0.05</v>
      </c>
      <c r="F209">
        <v>0.7</v>
      </c>
      <c r="G209">
        <v>6.05</v>
      </c>
      <c r="H209">
        <v>0.71109999999999995</v>
      </c>
      <c r="I209">
        <v>88.78</v>
      </c>
    </row>
    <row r="210" spans="1:9">
      <c r="A210" t="s">
        <v>835</v>
      </c>
      <c r="B210" t="s">
        <v>790</v>
      </c>
      <c r="C210">
        <v>0.25</v>
      </c>
      <c r="D210">
        <v>0</v>
      </c>
      <c r="E210">
        <v>0.05</v>
      </c>
      <c r="F210">
        <v>0.7</v>
      </c>
      <c r="G210">
        <v>6.05</v>
      </c>
      <c r="H210">
        <v>0.71109999999999995</v>
      </c>
      <c r="I210">
        <v>133.88999999999999</v>
      </c>
    </row>
    <row r="211" spans="1:9">
      <c r="A211" t="s">
        <v>835</v>
      </c>
      <c r="B211" t="s">
        <v>791</v>
      </c>
      <c r="C211">
        <v>0.25</v>
      </c>
      <c r="D211">
        <v>0</v>
      </c>
      <c r="E211">
        <v>0.05</v>
      </c>
      <c r="F211">
        <v>0.7</v>
      </c>
      <c r="G211">
        <v>6.05</v>
      </c>
      <c r="H211">
        <v>0.71109999999999995</v>
      </c>
      <c r="I211">
        <v>112.79</v>
      </c>
    </row>
    <row r="212" spans="1:9">
      <c r="A212" t="s">
        <v>835</v>
      </c>
      <c r="B212" t="s">
        <v>792</v>
      </c>
      <c r="C212">
        <v>0.25</v>
      </c>
      <c r="D212">
        <v>0</v>
      </c>
      <c r="E212">
        <v>0.05</v>
      </c>
      <c r="F212">
        <v>0.7</v>
      </c>
      <c r="G212">
        <v>6.05</v>
      </c>
      <c r="H212">
        <v>0.71109999999999995</v>
      </c>
      <c r="I212">
        <v>98.26</v>
      </c>
    </row>
    <row r="213" spans="1:9">
      <c r="A213" t="s">
        <v>835</v>
      </c>
      <c r="B213" t="s">
        <v>793</v>
      </c>
      <c r="C213">
        <v>0.25</v>
      </c>
      <c r="D213">
        <v>0</v>
      </c>
      <c r="E213">
        <v>0.05</v>
      </c>
      <c r="F213">
        <v>0.7</v>
      </c>
      <c r="G213">
        <v>6.05</v>
      </c>
      <c r="H213">
        <v>0.71109999999999995</v>
      </c>
      <c r="I213">
        <v>89.13</v>
      </c>
    </row>
    <row r="214" spans="1:9">
      <c r="A214" t="s">
        <v>835</v>
      </c>
      <c r="B214" t="s">
        <v>794</v>
      </c>
      <c r="C214">
        <v>0.25</v>
      </c>
      <c r="D214">
        <v>0</v>
      </c>
      <c r="E214">
        <v>0.05</v>
      </c>
      <c r="F214">
        <v>0.7</v>
      </c>
      <c r="G214">
        <v>6.05</v>
      </c>
      <c r="H214">
        <v>0.71109999999999995</v>
      </c>
      <c r="I214">
        <v>87.7</v>
      </c>
    </row>
    <row r="215" spans="1:9">
      <c r="A215" t="s">
        <v>836</v>
      </c>
      <c r="B215" t="s">
        <v>790</v>
      </c>
      <c r="C215">
        <v>0.25</v>
      </c>
      <c r="D215">
        <v>0</v>
      </c>
      <c r="E215">
        <v>0.05</v>
      </c>
      <c r="F215">
        <v>0.7</v>
      </c>
      <c r="G215">
        <v>6.05</v>
      </c>
      <c r="H215">
        <v>0.71109999999999995</v>
      </c>
      <c r="I215">
        <v>131.93</v>
      </c>
    </row>
    <row r="216" spans="1:9">
      <c r="A216" t="s">
        <v>836</v>
      </c>
      <c r="B216" t="s">
        <v>791</v>
      </c>
      <c r="C216">
        <v>0.25</v>
      </c>
      <c r="D216">
        <v>0</v>
      </c>
      <c r="E216">
        <v>0.05</v>
      </c>
      <c r="F216">
        <v>0.7</v>
      </c>
      <c r="G216">
        <v>6.05</v>
      </c>
      <c r="H216">
        <v>0.71109999999999995</v>
      </c>
      <c r="I216">
        <v>110.94</v>
      </c>
    </row>
    <row r="217" spans="1:9">
      <c r="A217" t="s">
        <v>836</v>
      </c>
      <c r="B217" t="s">
        <v>792</v>
      </c>
      <c r="C217">
        <v>0.25</v>
      </c>
      <c r="D217">
        <v>0</v>
      </c>
      <c r="E217">
        <v>0.05</v>
      </c>
      <c r="F217">
        <v>0.7</v>
      </c>
      <c r="G217">
        <v>6.05</v>
      </c>
      <c r="H217">
        <v>0.71109999999999995</v>
      </c>
      <c r="I217">
        <v>96.66</v>
      </c>
    </row>
    <row r="218" spans="1:9">
      <c r="A218" t="s">
        <v>836</v>
      </c>
      <c r="B218" t="s">
        <v>793</v>
      </c>
      <c r="C218">
        <v>0.25</v>
      </c>
      <c r="D218">
        <v>0</v>
      </c>
      <c r="E218">
        <v>0.05</v>
      </c>
      <c r="F218">
        <v>0.7</v>
      </c>
      <c r="G218">
        <v>6.05</v>
      </c>
      <c r="H218">
        <v>0.71109999999999995</v>
      </c>
      <c r="I218">
        <v>87.76</v>
      </c>
    </row>
    <row r="219" spans="1:9">
      <c r="A219" t="s">
        <v>836</v>
      </c>
      <c r="B219" t="s">
        <v>794</v>
      </c>
      <c r="C219">
        <v>0.25</v>
      </c>
      <c r="D219">
        <v>0</v>
      </c>
      <c r="E219">
        <v>0.05</v>
      </c>
      <c r="F219">
        <v>0.7</v>
      </c>
      <c r="G219">
        <v>6.05</v>
      </c>
      <c r="H219">
        <v>0.71109999999999995</v>
      </c>
      <c r="I219">
        <v>86.36</v>
      </c>
    </row>
    <row r="220" spans="1:9">
      <c r="A220" t="s">
        <v>837</v>
      </c>
      <c r="B220" t="s">
        <v>790</v>
      </c>
      <c r="C220">
        <v>0.25</v>
      </c>
      <c r="D220">
        <v>0</v>
      </c>
      <c r="E220">
        <v>0.05</v>
      </c>
      <c r="F220">
        <v>0.7</v>
      </c>
      <c r="G220">
        <v>6.05</v>
      </c>
      <c r="H220">
        <v>0.59399999999999997</v>
      </c>
      <c r="I220">
        <v>156.5</v>
      </c>
    </row>
    <row r="221" spans="1:9">
      <c r="A221" t="s">
        <v>837</v>
      </c>
      <c r="B221" t="s">
        <v>791</v>
      </c>
      <c r="C221">
        <v>0.25</v>
      </c>
      <c r="D221">
        <v>0</v>
      </c>
      <c r="E221">
        <v>0.05</v>
      </c>
      <c r="F221">
        <v>0.7</v>
      </c>
      <c r="G221">
        <v>6.05</v>
      </c>
      <c r="H221">
        <v>0.59399999999999997</v>
      </c>
      <c r="I221">
        <v>131.44999999999999</v>
      </c>
    </row>
    <row r="222" spans="1:9">
      <c r="A222" t="s">
        <v>837</v>
      </c>
      <c r="B222" t="s">
        <v>792</v>
      </c>
      <c r="C222">
        <v>0.25</v>
      </c>
      <c r="D222">
        <v>0</v>
      </c>
      <c r="E222">
        <v>0.05</v>
      </c>
      <c r="F222">
        <v>0.7</v>
      </c>
      <c r="G222">
        <v>6.05</v>
      </c>
      <c r="H222">
        <v>0.59399999999999997</v>
      </c>
      <c r="I222">
        <v>114.54</v>
      </c>
    </row>
    <row r="223" spans="1:9">
      <c r="A223" t="s">
        <v>837</v>
      </c>
      <c r="B223" t="s">
        <v>793</v>
      </c>
      <c r="C223">
        <v>0.25</v>
      </c>
      <c r="D223">
        <v>0</v>
      </c>
      <c r="E223">
        <v>0.05</v>
      </c>
      <c r="F223">
        <v>0.7</v>
      </c>
      <c r="G223">
        <v>6.05</v>
      </c>
      <c r="H223">
        <v>0.59399999999999997</v>
      </c>
      <c r="I223">
        <v>104.06</v>
      </c>
    </row>
    <row r="224" spans="1:9">
      <c r="A224" t="s">
        <v>837</v>
      </c>
      <c r="B224" t="s">
        <v>794</v>
      </c>
      <c r="C224">
        <v>0.25</v>
      </c>
      <c r="D224">
        <v>0</v>
      </c>
      <c r="E224">
        <v>0.05</v>
      </c>
      <c r="F224">
        <v>0.7</v>
      </c>
      <c r="G224">
        <v>6.05</v>
      </c>
      <c r="H224">
        <v>0.59399999999999997</v>
      </c>
      <c r="I224">
        <v>102.39</v>
      </c>
    </row>
    <row r="225" spans="1:9">
      <c r="A225" t="s">
        <v>838</v>
      </c>
      <c r="B225" t="s">
        <v>790</v>
      </c>
      <c r="C225">
        <v>0.25</v>
      </c>
      <c r="D225">
        <v>0</v>
      </c>
      <c r="E225">
        <v>0.05</v>
      </c>
      <c r="F225">
        <v>0.7</v>
      </c>
      <c r="G225">
        <v>6.05</v>
      </c>
      <c r="H225">
        <v>0.63859999999999995</v>
      </c>
      <c r="I225">
        <v>145.56</v>
      </c>
    </row>
    <row r="226" spans="1:9">
      <c r="A226" t="s">
        <v>838</v>
      </c>
      <c r="B226" t="s">
        <v>791</v>
      </c>
      <c r="C226">
        <v>0.25</v>
      </c>
      <c r="D226">
        <v>0</v>
      </c>
      <c r="E226">
        <v>0.05</v>
      </c>
      <c r="F226">
        <v>0.7</v>
      </c>
      <c r="G226">
        <v>6.05</v>
      </c>
      <c r="H226">
        <v>0.63859999999999995</v>
      </c>
      <c r="I226">
        <v>122.27</v>
      </c>
    </row>
    <row r="227" spans="1:9">
      <c r="A227" t="s">
        <v>838</v>
      </c>
      <c r="B227" t="s">
        <v>792</v>
      </c>
      <c r="C227">
        <v>0.25</v>
      </c>
      <c r="D227">
        <v>0</v>
      </c>
      <c r="E227">
        <v>0.05</v>
      </c>
      <c r="F227">
        <v>0.7</v>
      </c>
      <c r="G227">
        <v>6.05</v>
      </c>
      <c r="H227">
        <v>0.63859999999999995</v>
      </c>
      <c r="I227">
        <v>106.53</v>
      </c>
    </row>
    <row r="228" spans="1:9">
      <c r="A228" t="s">
        <v>838</v>
      </c>
      <c r="B228" t="s">
        <v>793</v>
      </c>
      <c r="C228">
        <v>0.25</v>
      </c>
      <c r="D228">
        <v>0</v>
      </c>
      <c r="E228">
        <v>0.05</v>
      </c>
      <c r="F228">
        <v>0.7</v>
      </c>
      <c r="G228">
        <v>6.05</v>
      </c>
      <c r="H228">
        <v>0.63859999999999995</v>
      </c>
      <c r="I228">
        <v>96.78</v>
      </c>
    </row>
    <row r="229" spans="1:9">
      <c r="A229" t="s">
        <v>838</v>
      </c>
      <c r="B229" t="s">
        <v>794</v>
      </c>
      <c r="C229">
        <v>0.25</v>
      </c>
      <c r="D229">
        <v>0</v>
      </c>
      <c r="E229">
        <v>0.05</v>
      </c>
      <c r="F229">
        <v>0.7</v>
      </c>
      <c r="G229">
        <v>6.05</v>
      </c>
      <c r="H229">
        <v>0.63859999999999995</v>
      </c>
      <c r="I229">
        <v>95.24</v>
      </c>
    </row>
    <row r="230" spans="1:9">
      <c r="A230" t="s">
        <v>839</v>
      </c>
      <c r="B230" t="s">
        <v>790</v>
      </c>
      <c r="C230">
        <v>0.25</v>
      </c>
      <c r="D230">
        <v>0</v>
      </c>
      <c r="E230">
        <v>0.05</v>
      </c>
      <c r="F230">
        <v>0.7</v>
      </c>
      <c r="G230">
        <v>6.05</v>
      </c>
      <c r="H230">
        <v>0.68320000000000003</v>
      </c>
      <c r="I230">
        <v>136.05000000000001</v>
      </c>
    </row>
    <row r="231" spans="1:9">
      <c r="A231" t="s">
        <v>839</v>
      </c>
      <c r="B231" t="s">
        <v>791</v>
      </c>
      <c r="C231">
        <v>0.25</v>
      </c>
      <c r="D231">
        <v>0</v>
      </c>
      <c r="E231">
        <v>0.05</v>
      </c>
      <c r="F231">
        <v>0.7</v>
      </c>
      <c r="G231">
        <v>6.05</v>
      </c>
      <c r="H231">
        <v>0.68320000000000003</v>
      </c>
      <c r="I231">
        <v>114.28</v>
      </c>
    </row>
    <row r="232" spans="1:9">
      <c r="A232" t="s">
        <v>839</v>
      </c>
      <c r="B232" t="s">
        <v>792</v>
      </c>
      <c r="C232">
        <v>0.25</v>
      </c>
      <c r="D232">
        <v>0</v>
      </c>
      <c r="E232">
        <v>0.05</v>
      </c>
      <c r="F232">
        <v>0.7</v>
      </c>
      <c r="G232">
        <v>6.05</v>
      </c>
      <c r="H232">
        <v>0.68320000000000003</v>
      </c>
      <c r="I232">
        <v>99.58</v>
      </c>
    </row>
    <row r="233" spans="1:9">
      <c r="A233" t="s">
        <v>839</v>
      </c>
      <c r="B233" t="s">
        <v>793</v>
      </c>
      <c r="C233">
        <v>0.25</v>
      </c>
      <c r="D233">
        <v>0</v>
      </c>
      <c r="E233">
        <v>0.05</v>
      </c>
      <c r="F233">
        <v>0.7</v>
      </c>
      <c r="G233">
        <v>6.05</v>
      </c>
      <c r="H233">
        <v>0.68320000000000003</v>
      </c>
      <c r="I233">
        <v>90.46</v>
      </c>
    </row>
    <row r="234" spans="1:9">
      <c r="A234" t="s">
        <v>839</v>
      </c>
      <c r="B234" t="s">
        <v>794</v>
      </c>
      <c r="C234">
        <v>0.25</v>
      </c>
      <c r="D234">
        <v>0</v>
      </c>
      <c r="E234">
        <v>0.05</v>
      </c>
      <c r="F234">
        <v>0.7</v>
      </c>
      <c r="G234">
        <v>6.05</v>
      </c>
      <c r="H234">
        <v>0.68320000000000003</v>
      </c>
      <c r="I234">
        <v>89.02</v>
      </c>
    </row>
    <row r="235" spans="1:9">
      <c r="A235" t="s">
        <v>840</v>
      </c>
      <c r="B235" t="s">
        <v>790</v>
      </c>
      <c r="C235">
        <v>0.25</v>
      </c>
      <c r="D235">
        <v>0</v>
      </c>
      <c r="E235">
        <v>0.05</v>
      </c>
      <c r="F235">
        <v>0.7</v>
      </c>
      <c r="G235">
        <v>6.05</v>
      </c>
      <c r="H235">
        <v>0.66649999999999998</v>
      </c>
      <c r="I235">
        <v>139.47</v>
      </c>
    </row>
    <row r="236" spans="1:9">
      <c r="A236" t="s">
        <v>840</v>
      </c>
      <c r="B236" t="s">
        <v>791</v>
      </c>
      <c r="C236">
        <v>0.25</v>
      </c>
      <c r="D236">
        <v>0</v>
      </c>
      <c r="E236">
        <v>0.05</v>
      </c>
      <c r="F236">
        <v>0.7</v>
      </c>
      <c r="G236">
        <v>6.05</v>
      </c>
      <c r="H236">
        <v>0.66649999999999998</v>
      </c>
      <c r="I236">
        <v>117.16</v>
      </c>
    </row>
    <row r="237" spans="1:9">
      <c r="A237" t="s">
        <v>840</v>
      </c>
      <c r="B237" t="s">
        <v>792</v>
      </c>
      <c r="C237">
        <v>0.25</v>
      </c>
      <c r="D237">
        <v>0</v>
      </c>
      <c r="E237">
        <v>0.05</v>
      </c>
      <c r="F237">
        <v>0.7</v>
      </c>
      <c r="G237">
        <v>6.05</v>
      </c>
      <c r="H237">
        <v>0.66649999999999998</v>
      </c>
      <c r="I237">
        <v>102.08</v>
      </c>
    </row>
    <row r="238" spans="1:9">
      <c r="A238" t="s">
        <v>840</v>
      </c>
      <c r="B238" t="s">
        <v>793</v>
      </c>
      <c r="C238">
        <v>0.25</v>
      </c>
      <c r="D238">
        <v>0</v>
      </c>
      <c r="E238">
        <v>0.05</v>
      </c>
      <c r="F238">
        <v>0.7</v>
      </c>
      <c r="G238">
        <v>6.05</v>
      </c>
      <c r="H238">
        <v>0.66649999999999998</v>
      </c>
      <c r="I238">
        <v>92.74</v>
      </c>
    </row>
    <row r="239" spans="1:9">
      <c r="A239" t="s">
        <v>840</v>
      </c>
      <c r="B239" t="s">
        <v>794</v>
      </c>
      <c r="C239">
        <v>0.25</v>
      </c>
      <c r="D239">
        <v>0</v>
      </c>
      <c r="E239">
        <v>0.05</v>
      </c>
      <c r="F239">
        <v>0.7</v>
      </c>
      <c r="G239">
        <v>6.05</v>
      </c>
      <c r="H239">
        <v>0.66649999999999998</v>
      </c>
      <c r="I239">
        <v>91.26</v>
      </c>
    </row>
    <row r="240" spans="1:9">
      <c r="A240" t="s">
        <v>841</v>
      </c>
      <c r="B240" t="s">
        <v>790</v>
      </c>
      <c r="C240">
        <v>0.25</v>
      </c>
      <c r="D240">
        <v>0</v>
      </c>
      <c r="E240">
        <v>0.05</v>
      </c>
      <c r="F240">
        <v>0.7</v>
      </c>
      <c r="G240">
        <v>6.05</v>
      </c>
      <c r="H240">
        <v>0.71109999999999995</v>
      </c>
      <c r="I240">
        <v>130.72</v>
      </c>
    </row>
    <row r="241" spans="1:9">
      <c r="A241" t="s">
        <v>841</v>
      </c>
      <c r="B241" t="s">
        <v>791</v>
      </c>
      <c r="C241">
        <v>0.25</v>
      </c>
      <c r="D241">
        <v>0</v>
      </c>
      <c r="E241">
        <v>0.05</v>
      </c>
      <c r="F241">
        <v>0.7</v>
      </c>
      <c r="G241">
        <v>6.05</v>
      </c>
      <c r="H241">
        <v>0.71109999999999995</v>
      </c>
      <c r="I241">
        <v>109.8</v>
      </c>
    </row>
    <row r="242" spans="1:9">
      <c r="A242" t="s">
        <v>841</v>
      </c>
      <c r="B242" t="s">
        <v>792</v>
      </c>
      <c r="C242">
        <v>0.25</v>
      </c>
      <c r="D242">
        <v>0</v>
      </c>
      <c r="E242">
        <v>0.05</v>
      </c>
      <c r="F242">
        <v>0.7</v>
      </c>
      <c r="G242">
        <v>6.05</v>
      </c>
      <c r="H242">
        <v>0.71109999999999995</v>
      </c>
      <c r="I242">
        <v>95.67</v>
      </c>
    </row>
    <row r="243" spans="1:9">
      <c r="A243" t="s">
        <v>841</v>
      </c>
      <c r="B243" t="s">
        <v>793</v>
      </c>
      <c r="C243">
        <v>0.25</v>
      </c>
      <c r="D243">
        <v>0</v>
      </c>
      <c r="E243">
        <v>0.05</v>
      </c>
      <c r="F243">
        <v>0.7</v>
      </c>
      <c r="G243">
        <v>6.05</v>
      </c>
      <c r="H243">
        <v>0.71109999999999995</v>
      </c>
      <c r="I243">
        <v>86.92</v>
      </c>
    </row>
    <row r="244" spans="1:9">
      <c r="A244" t="s">
        <v>841</v>
      </c>
      <c r="B244" t="s">
        <v>794</v>
      </c>
      <c r="C244">
        <v>0.25</v>
      </c>
      <c r="D244">
        <v>0</v>
      </c>
      <c r="E244">
        <v>0.05</v>
      </c>
      <c r="F244">
        <v>0.7</v>
      </c>
      <c r="G244">
        <v>6.05</v>
      </c>
      <c r="H244">
        <v>0.71109999999999995</v>
      </c>
      <c r="I244">
        <v>85.53</v>
      </c>
    </row>
    <row r="245" spans="1:9">
      <c r="A245" t="s">
        <v>842</v>
      </c>
      <c r="B245" t="s">
        <v>790</v>
      </c>
      <c r="C245">
        <v>0.25</v>
      </c>
      <c r="D245">
        <v>0</v>
      </c>
      <c r="E245">
        <v>0.05</v>
      </c>
      <c r="F245">
        <v>0.7</v>
      </c>
      <c r="G245">
        <v>6.05</v>
      </c>
      <c r="H245">
        <v>0.75570000000000004</v>
      </c>
      <c r="I245">
        <v>123</v>
      </c>
    </row>
    <row r="246" spans="1:9">
      <c r="A246" t="s">
        <v>842</v>
      </c>
      <c r="B246" t="s">
        <v>791</v>
      </c>
      <c r="C246">
        <v>0.25</v>
      </c>
      <c r="D246">
        <v>0</v>
      </c>
      <c r="E246">
        <v>0.05</v>
      </c>
      <c r="F246">
        <v>0.7</v>
      </c>
      <c r="G246">
        <v>6.05</v>
      </c>
      <c r="H246">
        <v>0.75570000000000004</v>
      </c>
      <c r="I246">
        <v>103.32</v>
      </c>
    </row>
    <row r="247" spans="1:9">
      <c r="A247" t="s">
        <v>842</v>
      </c>
      <c r="B247" t="s">
        <v>792</v>
      </c>
      <c r="C247">
        <v>0.25</v>
      </c>
      <c r="D247">
        <v>0</v>
      </c>
      <c r="E247">
        <v>0.05</v>
      </c>
      <c r="F247">
        <v>0.7</v>
      </c>
      <c r="G247">
        <v>6.05</v>
      </c>
      <c r="H247">
        <v>0.75570000000000004</v>
      </c>
      <c r="I247">
        <v>90.02</v>
      </c>
    </row>
    <row r="248" spans="1:9">
      <c r="A248" t="s">
        <v>842</v>
      </c>
      <c r="B248" t="s">
        <v>793</v>
      </c>
      <c r="C248">
        <v>0.25</v>
      </c>
      <c r="D248">
        <v>0</v>
      </c>
      <c r="E248">
        <v>0.05</v>
      </c>
      <c r="F248">
        <v>0.7</v>
      </c>
      <c r="G248">
        <v>6.05</v>
      </c>
      <c r="H248">
        <v>0.75570000000000004</v>
      </c>
      <c r="I248">
        <v>81.78</v>
      </c>
    </row>
    <row r="249" spans="1:9">
      <c r="A249" t="s">
        <v>842</v>
      </c>
      <c r="B249" t="s">
        <v>794</v>
      </c>
      <c r="C249">
        <v>0.25</v>
      </c>
      <c r="D249">
        <v>0</v>
      </c>
      <c r="E249">
        <v>0.05</v>
      </c>
      <c r="F249">
        <v>0.7</v>
      </c>
      <c r="G249">
        <v>6.05</v>
      </c>
      <c r="H249">
        <v>0.75570000000000004</v>
      </c>
      <c r="I249">
        <v>80.48</v>
      </c>
    </row>
    <row r="250" spans="1:9">
      <c r="A250" t="s">
        <v>843</v>
      </c>
      <c r="B250" t="s">
        <v>790</v>
      </c>
      <c r="C250">
        <v>0.25</v>
      </c>
      <c r="D250">
        <v>0</v>
      </c>
      <c r="E250">
        <v>0.05</v>
      </c>
      <c r="F250">
        <v>0.7</v>
      </c>
      <c r="G250">
        <v>6.05</v>
      </c>
      <c r="H250">
        <v>0.73899999999999999</v>
      </c>
      <c r="I250">
        <v>125.79</v>
      </c>
    </row>
    <row r="251" spans="1:9">
      <c r="A251" t="s">
        <v>843</v>
      </c>
      <c r="B251" t="s">
        <v>791</v>
      </c>
      <c r="C251">
        <v>0.25</v>
      </c>
      <c r="D251">
        <v>0</v>
      </c>
      <c r="E251">
        <v>0.05</v>
      </c>
      <c r="F251">
        <v>0.7</v>
      </c>
      <c r="G251">
        <v>6.05</v>
      </c>
      <c r="H251">
        <v>0.73899999999999999</v>
      </c>
      <c r="I251">
        <v>105.66</v>
      </c>
    </row>
    <row r="252" spans="1:9">
      <c r="A252" t="s">
        <v>843</v>
      </c>
      <c r="B252" t="s">
        <v>792</v>
      </c>
      <c r="C252">
        <v>0.25</v>
      </c>
      <c r="D252">
        <v>0</v>
      </c>
      <c r="E252">
        <v>0.05</v>
      </c>
      <c r="F252">
        <v>0.7</v>
      </c>
      <c r="G252">
        <v>6.05</v>
      </c>
      <c r="H252">
        <v>0.73899999999999999</v>
      </c>
      <c r="I252">
        <v>92.07</v>
      </c>
    </row>
    <row r="253" spans="1:9">
      <c r="A253" t="s">
        <v>843</v>
      </c>
      <c r="B253" t="s">
        <v>793</v>
      </c>
      <c r="C253">
        <v>0.25</v>
      </c>
      <c r="D253">
        <v>0</v>
      </c>
      <c r="E253">
        <v>0.05</v>
      </c>
      <c r="F253">
        <v>0.7</v>
      </c>
      <c r="G253">
        <v>6.05</v>
      </c>
      <c r="H253">
        <v>0.73899999999999999</v>
      </c>
      <c r="I253">
        <v>83.64</v>
      </c>
    </row>
    <row r="254" spans="1:9">
      <c r="A254" t="s">
        <v>843</v>
      </c>
      <c r="B254" t="s">
        <v>794</v>
      </c>
      <c r="C254">
        <v>0.25</v>
      </c>
      <c r="D254">
        <v>0</v>
      </c>
      <c r="E254">
        <v>0.05</v>
      </c>
      <c r="F254">
        <v>0.7</v>
      </c>
      <c r="G254">
        <v>6.05</v>
      </c>
      <c r="H254">
        <v>0.73899999999999999</v>
      </c>
      <c r="I254">
        <v>82.31</v>
      </c>
    </row>
    <row r="255" spans="1:9">
      <c r="A255" t="s">
        <v>844</v>
      </c>
      <c r="B255" t="s">
        <v>790</v>
      </c>
      <c r="C255">
        <v>0.25</v>
      </c>
      <c r="D255">
        <v>0</v>
      </c>
      <c r="E255">
        <v>0.05</v>
      </c>
      <c r="F255">
        <v>0.7</v>
      </c>
      <c r="G255">
        <v>6.05</v>
      </c>
      <c r="H255">
        <v>0.78359999999999996</v>
      </c>
      <c r="I255">
        <v>118.63</v>
      </c>
    </row>
    <row r="256" spans="1:9">
      <c r="A256" t="s">
        <v>844</v>
      </c>
      <c r="B256" t="s">
        <v>791</v>
      </c>
      <c r="C256">
        <v>0.25</v>
      </c>
      <c r="D256">
        <v>0</v>
      </c>
      <c r="E256">
        <v>0.05</v>
      </c>
      <c r="F256">
        <v>0.7</v>
      </c>
      <c r="G256">
        <v>6.05</v>
      </c>
      <c r="H256">
        <v>0.78359999999999996</v>
      </c>
      <c r="I256">
        <v>99.65</v>
      </c>
    </row>
    <row r="257" spans="1:9">
      <c r="A257" t="s">
        <v>844</v>
      </c>
      <c r="B257" t="s">
        <v>792</v>
      </c>
      <c r="C257">
        <v>0.25</v>
      </c>
      <c r="D257">
        <v>0</v>
      </c>
      <c r="E257">
        <v>0.05</v>
      </c>
      <c r="F257">
        <v>0.7</v>
      </c>
      <c r="G257">
        <v>6.05</v>
      </c>
      <c r="H257">
        <v>0.78359999999999996</v>
      </c>
      <c r="I257">
        <v>86.82</v>
      </c>
    </row>
    <row r="258" spans="1:9">
      <c r="A258" t="s">
        <v>844</v>
      </c>
      <c r="B258" t="s">
        <v>793</v>
      </c>
      <c r="C258">
        <v>0.25</v>
      </c>
      <c r="D258">
        <v>0</v>
      </c>
      <c r="E258">
        <v>0.05</v>
      </c>
      <c r="F258">
        <v>0.7</v>
      </c>
      <c r="G258">
        <v>6.05</v>
      </c>
      <c r="H258">
        <v>0.78359999999999996</v>
      </c>
      <c r="I258">
        <v>78.88</v>
      </c>
    </row>
    <row r="259" spans="1:9">
      <c r="A259" t="s">
        <v>844</v>
      </c>
      <c r="B259" t="s">
        <v>794</v>
      </c>
      <c r="C259">
        <v>0.25</v>
      </c>
      <c r="D259">
        <v>0</v>
      </c>
      <c r="E259">
        <v>0.05</v>
      </c>
      <c r="F259">
        <v>0.7</v>
      </c>
      <c r="G259">
        <v>6.05</v>
      </c>
      <c r="H259">
        <v>0.78359999999999996</v>
      </c>
      <c r="I259">
        <v>77.62</v>
      </c>
    </row>
    <row r="260" spans="1:9">
      <c r="A260" t="s">
        <v>845</v>
      </c>
      <c r="B260" t="s">
        <v>790</v>
      </c>
      <c r="C260">
        <v>0.25</v>
      </c>
      <c r="D260">
        <v>0</v>
      </c>
      <c r="E260">
        <v>0.05</v>
      </c>
      <c r="F260">
        <v>0.7</v>
      </c>
      <c r="G260">
        <v>6.05</v>
      </c>
      <c r="H260">
        <v>0.82820000000000005</v>
      </c>
      <c r="I260">
        <v>112.24</v>
      </c>
    </row>
    <row r="261" spans="1:9">
      <c r="A261" t="s">
        <v>845</v>
      </c>
      <c r="B261" t="s">
        <v>791</v>
      </c>
      <c r="C261">
        <v>0.25</v>
      </c>
      <c r="D261">
        <v>0</v>
      </c>
      <c r="E261">
        <v>0.05</v>
      </c>
      <c r="F261">
        <v>0.7</v>
      </c>
      <c r="G261">
        <v>6.05</v>
      </c>
      <c r="H261">
        <v>0.82820000000000005</v>
      </c>
      <c r="I261">
        <v>94.28</v>
      </c>
    </row>
    <row r="262" spans="1:9">
      <c r="A262" t="s">
        <v>845</v>
      </c>
      <c r="B262" t="s">
        <v>792</v>
      </c>
      <c r="C262">
        <v>0.25</v>
      </c>
      <c r="D262">
        <v>0</v>
      </c>
      <c r="E262">
        <v>0.05</v>
      </c>
      <c r="F262">
        <v>0.7</v>
      </c>
      <c r="G262">
        <v>6.05</v>
      </c>
      <c r="H262">
        <v>0.82820000000000005</v>
      </c>
      <c r="I262">
        <v>82.14</v>
      </c>
    </row>
    <row r="263" spans="1:9">
      <c r="A263" t="s">
        <v>845</v>
      </c>
      <c r="B263" t="s">
        <v>793</v>
      </c>
      <c r="C263">
        <v>0.25</v>
      </c>
      <c r="D263">
        <v>0</v>
      </c>
      <c r="E263">
        <v>0.05</v>
      </c>
      <c r="F263">
        <v>0.7</v>
      </c>
      <c r="G263">
        <v>6.05</v>
      </c>
      <c r="H263">
        <v>0.82820000000000005</v>
      </c>
      <c r="I263">
        <v>74.63</v>
      </c>
    </row>
    <row r="264" spans="1:9">
      <c r="A264" t="s">
        <v>845</v>
      </c>
      <c r="B264" t="s">
        <v>794</v>
      </c>
      <c r="C264">
        <v>0.25</v>
      </c>
      <c r="D264">
        <v>0</v>
      </c>
      <c r="E264">
        <v>0.05</v>
      </c>
      <c r="F264">
        <v>0.7</v>
      </c>
      <c r="G264">
        <v>6.05</v>
      </c>
      <c r="H264">
        <v>0.82820000000000005</v>
      </c>
      <c r="I264">
        <v>73.430000000000007</v>
      </c>
    </row>
    <row r="265" spans="1:9">
      <c r="A265" t="s">
        <v>846</v>
      </c>
      <c r="B265" t="s">
        <v>790</v>
      </c>
      <c r="C265">
        <v>0.25</v>
      </c>
      <c r="D265">
        <v>0</v>
      </c>
      <c r="E265">
        <v>0.05</v>
      </c>
      <c r="F265">
        <v>0.7</v>
      </c>
      <c r="G265">
        <v>6.05</v>
      </c>
      <c r="H265">
        <v>0.71109999999999995</v>
      </c>
      <c r="I265">
        <v>119.15</v>
      </c>
    </row>
    <row r="266" spans="1:9">
      <c r="A266" t="s">
        <v>846</v>
      </c>
      <c r="B266" t="s">
        <v>791</v>
      </c>
      <c r="C266">
        <v>0.25</v>
      </c>
      <c r="D266">
        <v>0</v>
      </c>
      <c r="E266">
        <v>0.05</v>
      </c>
      <c r="F266">
        <v>0.7</v>
      </c>
      <c r="G266">
        <v>6.05</v>
      </c>
      <c r="H266">
        <v>0.71109999999999995</v>
      </c>
      <c r="I266">
        <v>100.22</v>
      </c>
    </row>
    <row r="267" spans="1:9">
      <c r="A267" t="s">
        <v>846</v>
      </c>
      <c r="B267" t="s">
        <v>792</v>
      </c>
      <c r="C267">
        <v>0.25</v>
      </c>
      <c r="D267">
        <v>0</v>
      </c>
      <c r="E267">
        <v>0.05</v>
      </c>
      <c r="F267">
        <v>0.7</v>
      </c>
      <c r="G267">
        <v>6.05</v>
      </c>
      <c r="H267">
        <v>0.71109999999999995</v>
      </c>
      <c r="I267">
        <v>87.45</v>
      </c>
    </row>
    <row r="268" spans="1:9">
      <c r="A268" t="s">
        <v>846</v>
      </c>
      <c r="B268" t="s">
        <v>793</v>
      </c>
      <c r="C268">
        <v>0.25</v>
      </c>
      <c r="D268">
        <v>0</v>
      </c>
      <c r="E268">
        <v>0.05</v>
      </c>
      <c r="F268">
        <v>0.7</v>
      </c>
      <c r="G268">
        <v>6.05</v>
      </c>
      <c r="H268">
        <v>0.71109999999999995</v>
      </c>
      <c r="I268">
        <v>79.569999999999993</v>
      </c>
    </row>
    <row r="269" spans="1:9">
      <c r="A269" t="s">
        <v>846</v>
      </c>
      <c r="B269" t="s">
        <v>794</v>
      </c>
      <c r="C269">
        <v>0.25</v>
      </c>
      <c r="D269">
        <v>0</v>
      </c>
      <c r="E269">
        <v>0.05</v>
      </c>
      <c r="F269">
        <v>0.7</v>
      </c>
      <c r="G269">
        <v>6.05</v>
      </c>
      <c r="H269">
        <v>0.71109999999999995</v>
      </c>
      <c r="I269">
        <v>78.319999999999993</v>
      </c>
    </row>
    <row r="270" spans="1:9">
      <c r="A270" t="s">
        <v>847</v>
      </c>
      <c r="B270" t="s">
        <v>790</v>
      </c>
      <c r="C270">
        <v>0.25</v>
      </c>
      <c r="D270">
        <v>0</v>
      </c>
      <c r="E270">
        <v>0.05</v>
      </c>
      <c r="F270">
        <v>0.7</v>
      </c>
      <c r="G270">
        <v>6.05</v>
      </c>
      <c r="H270">
        <v>0.71109999999999995</v>
      </c>
      <c r="I270">
        <v>123.04</v>
      </c>
    </row>
    <row r="271" spans="1:9">
      <c r="A271" t="s">
        <v>847</v>
      </c>
      <c r="B271" t="s">
        <v>791</v>
      </c>
      <c r="C271">
        <v>0.25</v>
      </c>
      <c r="D271">
        <v>0</v>
      </c>
      <c r="E271">
        <v>0.05</v>
      </c>
      <c r="F271">
        <v>0.7</v>
      </c>
      <c r="G271">
        <v>6.05</v>
      </c>
      <c r="H271">
        <v>0.71109999999999995</v>
      </c>
      <c r="I271">
        <v>103.51</v>
      </c>
    </row>
    <row r="272" spans="1:9">
      <c r="A272" t="s">
        <v>847</v>
      </c>
      <c r="B272" t="s">
        <v>792</v>
      </c>
      <c r="C272">
        <v>0.25</v>
      </c>
      <c r="D272">
        <v>0</v>
      </c>
      <c r="E272">
        <v>0.05</v>
      </c>
      <c r="F272">
        <v>0.7</v>
      </c>
      <c r="G272">
        <v>6.05</v>
      </c>
      <c r="H272">
        <v>0.71109999999999995</v>
      </c>
      <c r="I272">
        <v>90.31</v>
      </c>
    </row>
    <row r="273" spans="1:9">
      <c r="A273" t="s">
        <v>847</v>
      </c>
      <c r="B273" t="s">
        <v>793</v>
      </c>
      <c r="C273">
        <v>0.25</v>
      </c>
      <c r="D273">
        <v>0</v>
      </c>
      <c r="E273">
        <v>0.05</v>
      </c>
      <c r="F273">
        <v>0.7</v>
      </c>
      <c r="G273">
        <v>6.05</v>
      </c>
      <c r="H273">
        <v>0.71109999999999995</v>
      </c>
      <c r="I273">
        <v>82.26</v>
      </c>
    </row>
    <row r="274" spans="1:9">
      <c r="A274" t="s">
        <v>847</v>
      </c>
      <c r="B274" t="s">
        <v>794</v>
      </c>
      <c r="C274">
        <v>0.25</v>
      </c>
      <c r="D274">
        <v>0</v>
      </c>
      <c r="E274">
        <v>0.05</v>
      </c>
      <c r="F274">
        <v>0.7</v>
      </c>
      <c r="G274">
        <v>6.05</v>
      </c>
      <c r="H274">
        <v>0.71109999999999995</v>
      </c>
      <c r="I274">
        <v>81</v>
      </c>
    </row>
    <row r="275" spans="1:9">
      <c r="A275" t="s">
        <v>848</v>
      </c>
      <c r="B275" t="s">
        <v>790</v>
      </c>
      <c r="C275">
        <v>0.25</v>
      </c>
      <c r="D275">
        <v>0</v>
      </c>
      <c r="E275">
        <v>0.05</v>
      </c>
      <c r="F275">
        <v>0.7</v>
      </c>
      <c r="G275">
        <v>6.05</v>
      </c>
      <c r="H275">
        <v>0.71109999999999995</v>
      </c>
      <c r="I275">
        <v>127.06</v>
      </c>
    </row>
    <row r="276" spans="1:9">
      <c r="A276" t="s">
        <v>848</v>
      </c>
      <c r="B276" t="s">
        <v>791</v>
      </c>
      <c r="C276">
        <v>0.25</v>
      </c>
      <c r="D276">
        <v>0</v>
      </c>
      <c r="E276">
        <v>0.05</v>
      </c>
      <c r="F276">
        <v>0.7</v>
      </c>
      <c r="G276">
        <v>6.05</v>
      </c>
      <c r="H276">
        <v>0.71109999999999995</v>
      </c>
      <c r="I276">
        <v>106.92</v>
      </c>
    </row>
    <row r="277" spans="1:9">
      <c r="A277" t="s">
        <v>848</v>
      </c>
      <c r="B277" t="s">
        <v>792</v>
      </c>
      <c r="C277">
        <v>0.25</v>
      </c>
      <c r="D277">
        <v>0</v>
      </c>
      <c r="E277">
        <v>0.05</v>
      </c>
      <c r="F277">
        <v>0.7</v>
      </c>
      <c r="G277">
        <v>6.05</v>
      </c>
      <c r="H277">
        <v>0.71109999999999995</v>
      </c>
      <c r="I277">
        <v>93.26</v>
      </c>
    </row>
    <row r="278" spans="1:9">
      <c r="A278" t="s">
        <v>848</v>
      </c>
      <c r="B278" t="s">
        <v>793</v>
      </c>
      <c r="C278">
        <v>0.25</v>
      </c>
      <c r="D278">
        <v>0</v>
      </c>
      <c r="E278">
        <v>0.05</v>
      </c>
      <c r="F278">
        <v>0.7</v>
      </c>
      <c r="G278">
        <v>6.05</v>
      </c>
      <c r="H278">
        <v>0.71109999999999995</v>
      </c>
      <c r="I278">
        <v>85.03</v>
      </c>
    </row>
    <row r="279" spans="1:9">
      <c r="A279" t="s">
        <v>848</v>
      </c>
      <c r="B279" t="s">
        <v>794</v>
      </c>
      <c r="C279">
        <v>0.25</v>
      </c>
      <c r="D279">
        <v>0</v>
      </c>
      <c r="E279">
        <v>0.05</v>
      </c>
      <c r="F279">
        <v>0.7</v>
      </c>
      <c r="G279">
        <v>6.05</v>
      </c>
      <c r="H279">
        <v>0.71109999999999995</v>
      </c>
      <c r="I279">
        <v>83.76</v>
      </c>
    </row>
    <row r="280" spans="1:9">
      <c r="A280" t="s">
        <v>849</v>
      </c>
      <c r="B280" t="s">
        <v>790</v>
      </c>
      <c r="C280">
        <v>0.25</v>
      </c>
      <c r="D280">
        <v>0</v>
      </c>
      <c r="E280">
        <v>0.05</v>
      </c>
      <c r="F280">
        <v>0.7</v>
      </c>
      <c r="G280">
        <v>6.05</v>
      </c>
      <c r="H280">
        <v>0.71109999999999995</v>
      </c>
      <c r="I280">
        <v>122.69</v>
      </c>
    </row>
    <row r="281" spans="1:9">
      <c r="A281" t="s">
        <v>849</v>
      </c>
      <c r="B281" t="s">
        <v>791</v>
      </c>
      <c r="C281">
        <v>0.25</v>
      </c>
      <c r="D281">
        <v>0</v>
      </c>
      <c r="E281">
        <v>0.05</v>
      </c>
      <c r="F281">
        <v>0.7</v>
      </c>
      <c r="G281">
        <v>6.05</v>
      </c>
      <c r="H281">
        <v>0.71109999999999995</v>
      </c>
      <c r="I281">
        <v>102.6</v>
      </c>
    </row>
    <row r="282" spans="1:9">
      <c r="A282" t="s">
        <v>849</v>
      </c>
      <c r="B282" t="s">
        <v>792</v>
      </c>
      <c r="C282">
        <v>0.25</v>
      </c>
      <c r="D282">
        <v>0</v>
      </c>
      <c r="E282">
        <v>0.05</v>
      </c>
      <c r="F282">
        <v>0.7</v>
      </c>
      <c r="G282">
        <v>6.05</v>
      </c>
      <c r="H282">
        <v>0.71109999999999995</v>
      </c>
      <c r="I282">
        <v>89.43</v>
      </c>
    </row>
    <row r="283" spans="1:9">
      <c r="A283" t="s">
        <v>849</v>
      </c>
      <c r="B283" t="s">
        <v>793</v>
      </c>
      <c r="C283">
        <v>0.25</v>
      </c>
      <c r="D283">
        <v>0</v>
      </c>
      <c r="E283">
        <v>0.05</v>
      </c>
      <c r="F283">
        <v>0.7</v>
      </c>
      <c r="G283">
        <v>6.05</v>
      </c>
      <c r="H283">
        <v>0.71109999999999995</v>
      </c>
      <c r="I283">
        <v>81.34</v>
      </c>
    </row>
    <row r="284" spans="1:9">
      <c r="A284" t="s">
        <v>849</v>
      </c>
      <c r="B284" t="s">
        <v>794</v>
      </c>
      <c r="C284">
        <v>0.25</v>
      </c>
      <c r="D284">
        <v>0</v>
      </c>
      <c r="E284">
        <v>0.05</v>
      </c>
      <c r="F284">
        <v>0.7</v>
      </c>
      <c r="G284">
        <v>6.05</v>
      </c>
      <c r="H284">
        <v>0.71109999999999995</v>
      </c>
      <c r="I284">
        <v>80.02</v>
      </c>
    </row>
    <row r="285" spans="1:9">
      <c r="A285" t="s">
        <v>850</v>
      </c>
      <c r="B285" t="s">
        <v>790</v>
      </c>
      <c r="C285">
        <v>0.25</v>
      </c>
      <c r="D285">
        <v>0</v>
      </c>
      <c r="E285">
        <v>0.05</v>
      </c>
      <c r="F285">
        <v>0.7</v>
      </c>
      <c r="G285">
        <v>6.05</v>
      </c>
      <c r="H285">
        <v>0.71109999999999995</v>
      </c>
      <c r="I285">
        <v>126.58</v>
      </c>
    </row>
    <row r="286" spans="1:9">
      <c r="A286" t="s">
        <v>850</v>
      </c>
      <c r="B286" t="s">
        <v>791</v>
      </c>
      <c r="C286">
        <v>0.25</v>
      </c>
      <c r="D286">
        <v>0</v>
      </c>
      <c r="E286">
        <v>0.05</v>
      </c>
      <c r="F286">
        <v>0.7</v>
      </c>
      <c r="G286">
        <v>6.05</v>
      </c>
      <c r="H286">
        <v>0.71109999999999995</v>
      </c>
      <c r="I286">
        <v>105.9</v>
      </c>
    </row>
    <row r="287" spans="1:9">
      <c r="A287" t="s">
        <v>850</v>
      </c>
      <c r="B287" t="s">
        <v>792</v>
      </c>
      <c r="C287">
        <v>0.25</v>
      </c>
      <c r="D287">
        <v>0</v>
      </c>
      <c r="E287">
        <v>0.05</v>
      </c>
      <c r="F287">
        <v>0.7</v>
      </c>
      <c r="G287">
        <v>6.05</v>
      </c>
      <c r="H287">
        <v>0.71109999999999995</v>
      </c>
      <c r="I287">
        <v>92.29</v>
      </c>
    </row>
    <row r="288" spans="1:9">
      <c r="A288" t="s">
        <v>850</v>
      </c>
      <c r="B288" t="s">
        <v>793</v>
      </c>
      <c r="C288">
        <v>0.25</v>
      </c>
      <c r="D288">
        <v>0</v>
      </c>
      <c r="E288">
        <v>0.05</v>
      </c>
      <c r="F288">
        <v>0.7</v>
      </c>
      <c r="G288">
        <v>6.05</v>
      </c>
      <c r="H288">
        <v>0.71109999999999995</v>
      </c>
      <c r="I288">
        <v>84.03</v>
      </c>
    </row>
    <row r="289" spans="1:9">
      <c r="A289" t="s">
        <v>850</v>
      </c>
      <c r="B289" t="s">
        <v>794</v>
      </c>
      <c r="C289">
        <v>0.25</v>
      </c>
      <c r="D289">
        <v>0</v>
      </c>
      <c r="E289">
        <v>0.05</v>
      </c>
      <c r="F289">
        <v>0.7</v>
      </c>
      <c r="G289">
        <v>6.05</v>
      </c>
      <c r="H289">
        <v>0.71109999999999995</v>
      </c>
      <c r="I289">
        <v>82.7</v>
      </c>
    </row>
    <row r="290" spans="1:9">
      <c r="A290" t="s">
        <v>851</v>
      </c>
      <c r="B290" t="s">
        <v>790</v>
      </c>
      <c r="C290">
        <v>0.25</v>
      </c>
      <c r="D290">
        <v>0</v>
      </c>
      <c r="E290">
        <v>0.05</v>
      </c>
      <c r="F290">
        <v>0.7</v>
      </c>
      <c r="G290">
        <v>6.05</v>
      </c>
      <c r="H290">
        <v>0.71109999999999995</v>
      </c>
      <c r="I290">
        <v>130.59</v>
      </c>
    </row>
    <row r="291" spans="1:9">
      <c r="A291" t="s">
        <v>851</v>
      </c>
      <c r="B291" t="s">
        <v>791</v>
      </c>
      <c r="C291">
        <v>0.25</v>
      </c>
      <c r="D291">
        <v>0</v>
      </c>
      <c r="E291">
        <v>0.05</v>
      </c>
      <c r="F291">
        <v>0.7</v>
      </c>
      <c r="G291">
        <v>6.05</v>
      </c>
      <c r="H291">
        <v>0.71109999999999995</v>
      </c>
      <c r="I291">
        <v>109.3</v>
      </c>
    </row>
    <row r="292" spans="1:9">
      <c r="A292" t="s">
        <v>851</v>
      </c>
      <c r="B292" t="s">
        <v>792</v>
      </c>
      <c r="C292">
        <v>0.25</v>
      </c>
      <c r="D292">
        <v>0</v>
      </c>
      <c r="E292">
        <v>0.05</v>
      </c>
      <c r="F292">
        <v>0.7</v>
      </c>
      <c r="G292">
        <v>6.05</v>
      </c>
      <c r="H292">
        <v>0.71109999999999995</v>
      </c>
      <c r="I292">
        <v>95.24</v>
      </c>
    </row>
    <row r="293" spans="1:9">
      <c r="A293" t="s">
        <v>851</v>
      </c>
      <c r="B293" t="s">
        <v>793</v>
      </c>
      <c r="C293">
        <v>0.25</v>
      </c>
      <c r="D293">
        <v>0</v>
      </c>
      <c r="E293">
        <v>0.05</v>
      </c>
      <c r="F293">
        <v>0.7</v>
      </c>
      <c r="G293">
        <v>6.05</v>
      </c>
      <c r="H293">
        <v>0.71109999999999995</v>
      </c>
      <c r="I293">
        <v>86.8</v>
      </c>
    </row>
    <row r="294" spans="1:9">
      <c r="A294" t="s">
        <v>851</v>
      </c>
      <c r="B294" t="s">
        <v>794</v>
      </c>
      <c r="C294">
        <v>0.25</v>
      </c>
      <c r="D294">
        <v>0</v>
      </c>
      <c r="E294">
        <v>0.05</v>
      </c>
      <c r="F294">
        <v>0.7</v>
      </c>
      <c r="G294">
        <v>6.05</v>
      </c>
      <c r="H294">
        <v>0.71109999999999995</v>
      </c>
      <c r="I294">
        <v>85.46</v>
      </c>
    </row>
    <row r="295" spans="1:9">
      <c r="A295" t="s">
        <v>852</v>
      </c>
      <c r="B295" t="s">
        <v>790</v>
      </c>
      <c r="C295">
        <v>0.25</v>
      </c>
      <c r="D295">
        <v>0</v>
      </c>
      <c r="E295">
        <v>0.05</v>
      </c>
      <c r="F295">
        <v>0.7</v>
      </c>
      <c r="G295">
        <v>6.05</v>
      </c>
      <c r="H295">
        <v>0.71109999999999995</v>
      </c>
      <c r="I295">
        <v>126.36</v>
      </c>
    </row>
    <row r="296" spans="1:9">
      <c r="A296" t="s">
        <v>852</v>
      </c>
      <c r="B296" t="s">
        <v>791</v>
      </c>
      <c r="C296">
        <v>0.25</v>
      </c>
      <c r="D296">
        <v>0</v>
      </c>
      <c r="E296">
        <v>0.05</v>
      </c>
      <c r="F296">
        <v>0.7</v>
      </c>
      <c r="G296">
        <v>6.05</v>
      </c>
      <c r="H296">
        <v>0.71109999999999995</v>
      </c>
      <c r="I296">
        <v>105.07</v>
      </c>
    </row>
    <row r="297" spans="1:9">
      <c r="A297" t="s">
        <v>852</v>
      </c>
      <c r="B297" t="s">
        <v>792</v>
      </c>
      <c r="C297">
        <v>0.25</v>
      </c>
      <c r="D297">
        <v>0</v>
      </c>
      <c r="E297">
        <v>0.05</v>
      </c>
      <c r="F297">
        <v>0.7</v>
      </c>
      <c r="G297">
        <v>6.05</v>
      </c>
      <c r="H297">
        <v>0.71109999999999995</v>
      </c>
      <c r="I297">
        <v>91.48</v>
      </c>
    </row>
    <row r="298" spans="1:9">
      <c r="A298" t="s">
        <v>852</v>
      </c>
      <c r="B298" t="s">
        <v>793</v>
      </c>
      <c r="C298">
        <v>0.25</v>
      </c>
      <c r="D298">
        <v>0</v>
      </c>
      <c r="E298">
        <v>0.05</v>
      </c>
      <c r="F298">
        <v>0.7</v>
      </c>
      <c r="G298">
        <v>6.05</v>
      </c>
      <c r="H298">
        <v>0.71109999999999995</v>
      </c>
      <c r="I298">
        <v>83.18</v>
      </c>
    </row>
    <row r="299" spans="1:9">
      <c r="A299" t="s">
        <v>852</v>
      </c>
      <c r="B299" t="s">
        <v>794</v>
      </c>
      <c r="C299">
        <v>0.25</v>
      </c>
      <c r="D299">
        <v>0</v>
      </c>
      <c r="E299">
        <v>0.05</v>
      </c>
      <c r="F299">
        <v>0.7</v>
      </c>
      <c r="G299">
        <v>6.05</v>
      </c>
      <c r="H299">
        <v>0.71109999999999995</v>
      </c>
      <c r="I299">
        <v>81.790000000000006</v>
      </c>
    </row>
    <row r="300" spans="1:9">
      <c r="A300" t="s">
        <v>853</v>
      </c>
      <c r="B300" t="s">
        <v>790</v>
      </c>
      <c r="C300">
        <v>0.25</v>
      </c>
      <c r="D300">
        <v>0</v>
      </c>
      <c r="E300">
        <v>0.05</v>
      </c>
      <c r="F300">
        <v>0.7</v>
      </c>
      <c r="G300">
        <v>6.05</v>
      </c>
      <c r="H300">
        <v>0.71109999999999995</v>
      </c>
      <c r="I300">
        <v>130.25</v>
      </c>
    </row>
    <row r="301" spans="1:9">
      <c r="A301" t="s">
        <v>853</v>
      </c>
      <c r="B301" t="s">
        <v>791</v>
      </c>
      <c r="C301">
        <v>0.25</v>
      </c>
      <c r="D301">
        <v>0</v>
      </c>
      <c r="E301">
        <v>0.05</v>
      </c>
      <c r="F301">
        <v>0.7</v>
      </c>
      <c r="G301">
        <v>6.05</v>
      </c>
      <c r="H301">
        <v>0.71109999999999995</v>
      </c>
      <c r="I301">
        <v>108.37</v>
      </c>
    </row>
    <row r="302" spans="1:9">
      <c r="A302" t="s">
        <v>853</v>
      </c>
      <c r="B302" t="s">
        <v>792</v>
      </c>
      <c r="C302">
        <v>0.25</v>
      </c>
      <c r="D302">
        <v>0</v>
      </c>
      <c r="E302">
        <v>0.05</v>
      </c>
      <c r="F302">
        <v>0.7</v>
      </c>
      <c r="G302">
        <v>6.05</v>
      </c>
      <c r="H302">
        <v>0.71109999999999995</v>
      </c>
      <c r="I302">
        <v>94.34</v>
      </c>
    </row>
    <row r="303" spans="1:9">
      <c r="A303" t="s">
        <v>853</v>
      </c>
      <c r="B303" t="s">
        <v>793</v>
      </c>
      <c r="C303">
        <v>0.25</v>
      </c>
      <c r="D303">
        <v>0</v>
      </c>
      <c r="E303">
        <v>0.05</v>
      </c>
      <c r="F303">
        <v>0.7</v>
      </c>
      <c r="G303">
        <v>6.05</v>
      </c>
      <c r="H303">
        <v>0.71109999999999995</v>
      </c>
      <c r="I303">
        <v>85.87</v>
      </c>
    </row>
    <row r="304" spans="1:9">
      <c r="A304" t="s">
        <v>853</v>
      </c>
      <c r="B304" t="s">
        <v>794</v>
      </c>
      <c r="C304">
        <v>0.25</v>
      </c>
      <c r="D304">
        <v>0</v>
      </c>
      <c r="E304">
        <v>0.05</v>
      </c>
      <c r="F304">
        <v>0.7</v>
      </c>
      <c r="G304">
        <v>6.05</v>
      </c>
      <c r="H304">
        <v>0.71109999999999995</v>
      </c>
      <c r="I304">
        <v>84.46</v>
      </c>
    </row>
    <row r="305" spans="1:9">
      <c r="A305" t="s">
        <v>854</v>
      </c>
      <c r="B305" t="s">
        <v>790</v>
      </c>
      <c r="C305">
        <v>0.25</v>
      </c>
      <c r="D305">
        <v>0</v>
      </c>
      <c r="E305">
        <v>0.05</v>
      </c>
      <c r="F305">
        <v>0.7</v>
      </c>
      <c r="G305">
        <v>6.05</v>
      </c>
      <c r="H305">
        <v>0.71109999999999995</v>
      </c>
      <c r="I305">
        <v>134.27000000000001</v>
      </c>
    </row>
    <row r="306" spans="1:9">
      <c r="A306" t="s">
        <v>854</v>
      </c>
      <c r="B306" t="s">
        <v>791</v>
      </c>
      <c r="C306">
        <v>0.25</v>
      </c>
      <c r="D306">
        <v>0</v>
      </c>
      <c r="E306">
        <v>0.05</v>
      </c>
      <c r="F306">
        <v>0.7</v>
      </c>
      <c r="G306">
        <v>6.05</v>
      </c>
      <c r="H306">
        <v>0.71109999999999995</v>
      </c>
      <c r="I306">
        <v>111.77</v>
      </c>
    </row>
    <row r="307" spans="1:9">
      <c r="A307" t="s">
        <v>854</v>
      </c>
      <c r="B307" t="s">
        <v>792</v>
      </c>
      <c r="C307">
        <v>0.25</v>
      </c>
      <c r="D307">
        <v>0</v>
      </c>
      <c r="E307">
        <v>0.05</v>
      </c>
      <c r="F307">
        <v>0.7</v>
      </c>
      <c r="G307">
        <v>6.05</v>
      </c>
      <c r="H307">
        <v>0.71109999999999995</v>
      </c>
      <c r="I307">
        <v>97.29</v>
      </c>
    </row>
    <row r="308" spans="1:9">
      <c r="A308" t="s">
        <v>854</v>
      </c>
      <c r="B308" t="s">
        <v>793</v>
      </c>
      <c r="C308">
        <v>0.25</v>
      </c>
      <c r="D308">
        <v>0</v>
      </c>
      <c r="E308">
        <v>0.05</v>
      </c>
      <c r="F308">
        <v>0.7</v>
      </c>
      <c r="G308">
        <v>6.05</v>
      </c>
      <c r="H308">
        <v>0.71109999999999995</v>
      </c>
      <c r="I308">
        <v>88.64</v>
      </c>
    </row>
    <row r="309" spans="1:9">
      <c r="A309" t="s">
        <v>854</v>
      </c>
      <c r="B309" t="s">
        <v>794</v>
      </c>
      <c r="C309">
        <v>0.25</v>
      </c>
      <c r="D309">
        <v>0</v>
      </c>
      <c r="E309">
        <v>0.05</v>
      </c>
      <c r="F309">
        <v>0.7</v>
      </c>
      <c r="G309">
        <v>6.05</v>
      </c>
      <c r="H309">
        <v>0.71109999999999995</v>
      </c>
      <c r="I309">
        <v>87.22</v>
      </c>
    </row>
    <row r="310" spans="1:9">
      <c r="A310" t="s">
        <v>855</v>
      </c>
      <c r="B310" t="s">
        <v>790</v>
      </c>
      <c r="C310">
        <v>0.25</v>
      </c>
      <c r="D310">
        <v>0</v>
      </c>
      <c r="E310">
        <v>0.05</v>
      </c>
      <c r="F310">
        <v>0.7</v>
      </c>
      <c r="G310">
        <v>6.05</v>
      </c>
      <c r="H310">
        <v>0.71109999999999995</v>
      </c>
      <c r="I310">
        <v>121.19</v>
      </c>
    </row>
    <row r="311" spans="1:9">
      <c r="A311" t="s">
        <v>855</v>
      </c>
      <c r="B311" t="s">
        <v>791</v>
      </c>
      <c r="C311">
        <v>0.25</v>
      </c>
      <c r="D311">
        <v>0</v>
      </c>
      <c r="E311">
        <v>0.05</v>
      </c>
      <c r="F311">
        <v>0.7</v>
      </c>
      <c r="G311">
        <v>6.05</v>
      </c>
      <c r="H311">
        <v>0.71109999999999995</v>
      </c>
      <c r="I311">
        <v>102.14</v>
      </c>
    </row>
    <row r="312" spans="1:9">
      <c r="A312" t="s">
        <v>855</v>
      </c>
      <c r="B312" t="s">
        <v>792</v>
      </c>
      <c r="C312">
        <v>0.25</v>
      </c>
      <c r="D312">
        <v>0</v>
      </c>
      <c r="E312">
        <v>0.05</v>
      </c>
      <c r="F312">
        <v>0.7</v>
      </c>
      <c r="G312">
        <v>6.05</v>
      </c>
      <c r="H312">
        <v>0.71109999999999995</v>
      </c>
      <c r="I312">
        <v>89.12</v>
      </c>
    </row>
    <row r="313" spans="1:9">
      <c r="A313" t="s">
        <v>855</v>
      </c>
      <c r="B313" t="s">
        <v>793</v>
      </c>
      <c r="C313">
        <v>0.25</v>
      </c>
      <c r="D313">
        <v>0</v>
      </c>
      <c r="E313">
        <v>0.05</v>
      </c>
      <c r="F313">
        <v>0.7</v>
      </c>
      <c r="G313">
        <v>6.05</v>
      </c>
      <c r="H313">
        <v>0.71109999999999995</v>
      </c>
      <c r="I313">
        <v>80.989999999999995</v>
      </c>
    </row>
    <row r="314" spans="1:9">
      <c r="A314" t="s">
        <v>855</v>
      </c>
      <c r="B314" t="s">
        <v>794</v>
      </c>
      <c r="C314">
        <v>0.25</v>
      </c>
      <c r="D314">
        <v>0</v>
      </c>
      <c r="E314">
        <v>0.05</v>
      </c>
      <c r="F314">
        <v>0.7</v>
      </c>
      <c r="G314">
        <v>6.05</v>
      </c>
      <c r="H314">
        <v>0.71109999999999995</v>
      </c>
      <c r="I314">
        <v>79.72</v>
      </c>
    </row>
    <row r="315" spans="1:9">
      <c r="A315" t="s">
        <v>856</v>
      </c>
      <c r="B315" t="s">
        <v>790</v>
      </c>
      <c r="C315">
        <v>0.25</v>
      </c>
      <c r="D315">
        <v>0</v>
      </c>
      <c r="E315">
        <v>0.05</v>
      </c>
      <c r="F315">
        <v>0.7</v>
      </c>
      <c r="G315">
        <v>6.05</v>
      </c>
      <c r="H315">
        <v>0.71109999999999995</v>
      </c>
      <c r="I315">
        <v>125.08</v>
      </c>
    </row>
    <row r="316" spans="1:9">
      <c r="A316" t="s">
        <v>856</v>
      </c>
      <c r="B316" t="s">
        <v>791</v>
      </c>
      <c r="C316">
        <v>0.25</v>
      </c>
      <c r="D316">
        <v>0</v>
      </c>
      <c r="E316">
        <v>0.05</v>
      </c>
      <c r="F316">
        <v>0.7</v>
      </c>
      <c r="G316">
        <v>6.05</v>
      </c>
      <c r="H316">
        <v>0.71109999999999995</v>
      </c>
      <c r="I316">
        <v>105.43</v>
      </c>
    </row>
    <row r="317" spans="1:9">
      <c r="A317" t="s">
        <v>856</v>
      </c>
      <c r="B317" t="s">
        <v>792</v>
      </c>
      <c r="C317">
        <v>0.25</v>
      </c>
      <c r="D317">
        <v>0</v>
      </c>
      <c r="E317">
        <v>0.05</v>
      </c>
      <c r="F317">
        <v>0.7</v>
      </c>
      <c r="G317">
        <v>6.05</v>
      </c>
      <c r="H317">
        <v>0.71109999999999995</v>
      </c>
      <c r="I317">
        <v>91.97</v>
      </c>
    </row>
    <row r="318" spans="1:9">
      <c r="A318" t="s">
        <v>856</v>
      </c>
      <c r="B318" t="s">
        <v>793</v>
      </c>
      <c r="C318">
        <v>0.25</v>
      </c>
      <c r="D318">
        <v>0</v>
      </c>
      <c r="E318">
        <v>0.05</v>
      </c>
      <c r="F318">
        <v>0.7</v>
      </c>
      <c r="G318">
        <v>6.05</v>
      </c>
      <c r="H318">
        <v>0.71109999999999995</v>
      </c>
      <c r="I318">
        <v>83.68</v>
      </c>
    </row>
    <row r="319" spans="1:9">
      <c r="A319" t="s">
        <v>856</v>
      </c>
      <c r="B319" t="s">
        <v>794</v>
      </c>
      <c r="C319">
        <v>0.25</v>
      </c>
      <c r="D319">
        <v>0</v>
      </c>
      <c r="E319">
        <v>0.05</v>
      </c>
      <c r="F319">
        <v>0.7</v>
      </c>
      <c r="G319">
        <v>6.05</v>
      </c>
      <c r="H319">
        <v>0.71109999999999995</v>
      </c>
      <c r="I319">
        <v>82.39</v>
      </c>
    </row>
    <row r="320" spans="1:9">
      <c r="A320" t="s">
        <v>857</v>
      </c>
      <c r="B320" t="s">
        <v>790</v>
      </c>
      <c r="C320">
        <v>0.25</v>
      </c>
      <c r="D320">
        <v>0</v>
      </c>
      <c r="E320">
        <v>0.05</v>
      </c>
      <c r="F320">
        <v>0.7</v>
      </c>
      <c r="G320">
        <v>6.05</v>
      </c>
      <c r="H320">
        <v>0.71109999999999995</v>
      </c>
      <c r="I320">
        <v>129.09</v>
      </c>
    </row>
    <row r="321" spans="1:9">
      <c r="A321" t="s">
        <v>857</v>
      </c>
      <c r="B321" t="s">
        <v>791</v>
      </c>
      <c r="C321">
        <v>0.25</v>
      </c>
      <c r="D321">
        <v>0</v>
      </c>
      <c r="E321">
        <v>0.05</v>
      </c>
      <c r="F321">
        <v>0.7</v>
      </c>
      <c r="G321">
        <v>6.05</v>
      </c>
      <c r="H321">
        <v>0.71109999999999995</v>
      </c>
      <c r="I321">
        <v>108.84</v>
      </c>
    </row>
    <row r="322" spans="1:9">
      <c r="A322" t="s">
        <v>857</v>
      </c>
      <c r="B322" t="s">
        <v>792</v>
      </c>
      <c r="C322">
        <v>0.25</v>
      </c>
      <c r="D322">
        <v>0</v>
      </c>
      <c r="E322">
        <v>0.05</v>
      </c>
      <c r="F322">
        <v>0.7</v>
      </c>
      <c r="G322">
        <v>6.05</v>
      </c>
      <c r="H322">
        <v>0.71109999999999995</v>
      </c>
      <c r="I322">
        <v>94.92</v>
      </c>
    </row>
    <row r="323" spans="1:9">
      <c r="A323" t="s">
        <v>857</v>
      </c>
      <c r="B323" t="s">
        <v>793</v>
      </c>
      <c r="C323">
        <v>0.25</v>
      </c>
      <c r="D323">
        <v>0</v>
      </c>
      <c r="E323">
        <v>0.05</v>
      </c>
      <c r="F323">
        <v>0.7</v>
      </c>
      <c r="G323">
        <v>6.05</v>
      </c>
      <c r="H323">
        <v>0.71109999999999995</v>
      </c>
      <c r="I323">
        <v>86.45</v>
      </c>
    </row>
    <row r="324" spans="1:9">
      <c r="A324" t="s">
        <v>857</v>
      </c>
      <c r="B324" t="s">
        <v>794</v>
      </c>
      <c r="C324">
        <v>0.25</v>
      </c>
      <c r="D324">
        <v>0</v>
      </c>
      <c r="E324">
        <v>0.05</v>
      </c>
      <c r="F324">
        <v>0.7</v>
      </c>
      <c r="G324">
        <v>6.05</v>
      </c>
      <c r="H324">
        <v>0.71109999999999995</v>
      </c>
      <c r="I324">
        <v>85.15</v>
      </c>
    </row>
    <row r="325" spans="1:9">
      <c r="A325" t="s">
        <v>858</v>
      </c>
      <c r="B325" t="s">
        <v>790</v>
      </c>
      <c r="C325">
        <v>0.25</v>
      </c>
      <c r="D325">
        <v>0</v>
      </c>
      <c r="E325">
        <v>0.05</v>
      </c>
      <c r="F325">
        <v>0.7</v>
      </c>
      <c r="G325">
        <v>6.05</v>
      </c>
      <c r="H325">
        <v>0.71109999999999995</v>
      </c>
      <c r="I325">
        <v>124.73</v>
      </c>
    </row>
    <row r="326" spans="1:9">
      <c r="A326" t="s">
        <v>858</v>
      </c>
      <c r="B326" t="s">
        <v>791</v>
      </c>
      <c r="C326">
        <v>0.25</v>
      </c>
      <c r="D326">
        <v>0</v>
      </c>
      <c r="E326">
        <v>0.05</v>
      </c>
      <c r="F326">
        <v>0.7</v>
      </c>
      <c r="G326">
        <v>6.05</v>
      </c>
      <c r="H326">
        <v>0.71109999999999995</v>
      </c>
      <c r="I326">
        <v>104.52</v>
      </c>
    </row>
    <row r="327" spans="1:9">
      <c r="A327" t="s">
        <v>858</v>
      </c>
      <c r="B327" t="s">
        <v>792</v>
      </c>
      <c r="C327">
        <v>0.25</v>
      </c>
      <c r="D327">
        <v>0</v>
      </c>
      <c r="E327">
        <v>0.05</v>
      </c>
      <c r="F327">
        <v>0.7</v>
      </c>
      <c r="G327">
        <v>6.05</v>
      </c>
      <c r="H327">
        <v>0.71109999999999995</v>
      </c>
      <c r="I327">
        <v>91.09</v>
      </c>
    </row>
    <row r="328" spans="1:9">
      <c r="A328" t="s">
        <v>858</v>
      </c>
      <c r="B328" t="s">
        <v>793</v>
      </c>
      <c r="C328">
        <v>0.25</v>
      </c>
      <c r="D328">
        <v>0</v>
      </c>
      <c r="E328">
        <v>0.05</v>
      </c>
      <c r="F328">
        <v>0.7</v>
      </c>
      <c r="G328">
        <v>6.05</v>
      </c>
      <c r="H328">
        <v>0.71109999999999995</v>
      </c>
      <c r="I328">
        <v>82.76</v>
      </c>
    </row>
    <row r="329" spans="1:9">
      <c r="A329" t="s">
        <v>858</v>
      </c>
      <c r="B329" t="s">
        <v>794</v>
      </c>
      <c r="C329">
        <v>0.25</v>
      </c>
      <c r="D329">
        <v>0</v>
      </c>
      <c r="E329">
        <v>0.05</v>
      </c>
      <c r="F329">
        <v>0.7</v>
      </c>
      <c r="G329">
        <v>6.05</v>
      </c>
      <c r="H329">
        <v>0.71109999999999995</v>
      </c>
      <c r="I329">
        <v>81.42</v>
      </c>
    </row>
    <row r="330" spans="1:9">
      <c r="A330" t="s">
        <v>859</v>
      </c>
      <c r="B330" t="s">
        <v>790</v>
      </c>
      <c r="C330">
        <v>0.25</v>
      </c>
      <c r="D330">
        <v>0</v>
      </c>
      <c r="E330">
        <v>0.05</v>
      </c>
      <c r="F330">
        <v>0.7</v>
      </c>
      <c r="G330">
        <v>6.05</v>
      </c>
      <c r="H330">
        <v>0.71109999999999995</v>
      </c>
      <c r="I330">
        <v>128.61000000000001</v>
      </c>
    </row>
    <row r="331" spans="1:9">
      <c r="A331" t="s">
        <v>859</v>
      </c>
      <c r="B331" t="s">
        <v>791</v>
      </c>
      <c r="C331">
        <v>0.25</v>
      </c>
      <c r="D331">
        <v>0</v>
      </c>
      <c r="E331">
        <v>0.05</v>
      </c>
      <c r="F331">
        <v>0.7</v>
      </c>
      <c r="G331">
        <v>6.05</v>
      </c>
      <c r="H331">
        <v>0.71109999999999995</v>
      </c>
      <c r="I331">
        <v>107.82</v>
      </c>
    </row>
    <row r="332" spans="1:9">
      <c r="A332" t="s">
        <v>859</v>
      </c>
      <c r="B332" t="s">
        <v>792</v>
      </c>
      <c r="C332">
        <v>0.25</v>
      </c>
      <c r="D332">
        <v>0</v>
      </c>
      <c r="E332">
        <v>0.05</v>
      </c>
      <c r="F332">
        <v>0.7</v>
      </c>
      <c r="G332">
        <v>6.05</v>
      </c>
      <c r="H332">
        <v>0.71109999999999995</v>
      </c>
      <c r="I332">
        <v>93.95</v>
      </c>
    </row>
    <row r="333" spans="1:9">
      <c r="A333" t="s">
        <v>859</v>
      </c>
      <c r="B333" t="s">
        <v>793</v>
      </c>
      <c r="C333">
        <v>0.25</v>
      </c>
      <c r="D333">
        <v>0</v>
      </c>
      <c r="E333">
        <v>0.05</v>
      </c>
      <c r="F333">
        <v>0.7</v>
      </c>
      <c r="G333">
        <v>6.05</v>
      </c>
      <c r="H333">
        <v>0.71109999999999995</v>
      </c>
      <c r="I333">
        <v>85.45</v>
      </c>
    </row>
    <row r="334" spans="1:9">
      <c r="A334" t="s">
        <v>859</v>
      </c>
      <c r="B334" t="s">
        <v>794</v>
      </c>
      <c r="C334">
        <v>0.25</v>
      </c>
      <c r="D334">
        <v>0</v>
      </c>
      <c r="E334">
        <v>0.05</v>
      </c>
      <c r="F334">
        <v>0.7</v>
      </c>
      <c r="G334">
        <v>6.05</v>
      </c>
      <c r="H334">
        <v>0.71109999999999995</v>
      </c>
      <c r="I334">
        <v>84.09</v>
      </c>
    </row>
    <row r="335" spans="1:9">
      <c r="A335" t="s">
        <v>860</v>
      </c>
      <c r="B335" t="s">
        <v>790</v>
      </c>
      <c r="C335">
        <v>0.25</v>
      </c>
      <c r="D335">
        <v>0</v>
      </c>
      <c r="E335">
        <v>0.05</v>
      </c>
      <c r="F335">
        <v>0.7</v>
      </c>
      <c r="G335">
        <v>6.05</v>
      </c>
      <c r="H335">
        <v>0.71109999999999995</v>
      </c>
      <c r="I335">
        <v>132.63</v>
      </c>
    </row>
    <row r="336" spans="1:9">
      <c r="A336" t="s">
        <v>860</v>
      </c>
      <c r="B336" t="s">
        <v>791</v>
      </c>
      <c r="C336">
        <v>0.25</v>
      </c>
      <c r="D336">
        <v>0</v>
      </c>
      <c r="E336">
        <v>0.05</v>
      </c>
      <c r="F336">
        <v>0.7</v>
      </c>
      <c r="G336">
        <v>6.05</v>
      </c>
      <c r="H336">
        <v>0.71109999999999995</v>
      </c>
      <c r="I336">
        <v>111.22</v>
      </c>
    </row>
    <row r="337" spans="1:9">
      <c r="A337" t="s">
        <v>860</v>
      </c>
      <c r="B337" t="s">
        <v>792</v>
      </c>
      <c r="C337">
        <v>0.25</v>
      </c>
      <c r="D337">
        <v>0</v>
      </c>
      <c r="E337">
        <v>0.05</v>
      </c>
      <c r="F337">
        <v>0.7</v>
      </c>
      <c r="G337">
        <v>6.05</v>
      </c>
      <c r="H337">
        <v>0.71109999999999995</v>
      </c>
      <c r="I337">
        <v>96.9</v>
      </c>
    </row>
    <row r="338" spans="1:9">
      <c r="A338" t="s">
        <v>860</v>
      </c>
      <c r="B338" t="s">
        <v>793</v>
      </c>
      <c r="C338">
        <v>0.25</v>
      </c>
      <c r="D338">
        <v>0</v>
      </c>
      <c r="E338">
        <v>0.05</v>
      </c>
      <c r="F338">
        <v>0.7</v>
      </c>
      <c r="G338">
        <v>6.05</v>
      </c>
      <c r="H338">
        <v>0.71109999999999995</v>
      </c>
      <c r="I338">
        <v>88.22</v>
      </c>
    </row>
    <row r="339" spans="1:9">
      <c r="A339" t="s">
        <v>860</v>
      </c>
      <c r="B339" t="s">
        <v>794</v>
      </c>
      <c r="C339">
        <v>0.25</v>
      </c>
      <c r="D339">
        <v>0</v>
      </c>
      <c r="E339">
        <v>0.05</v>
      </c>
      <c r="F339">
        <v>0.7</v>
      </c>
      <c r="G339">
        <v>6.05</v>
      </c>
      <c r="H339">
        <v>0.71109999999999995</v>
      </c>
      <c r="I339">
        <v>86.85</v>
      </c>
    </row>
    <row r="340" spans="1:9">
      <c r="A340" t="s">
        <v>861</v>
      </c>
      <c r="B340" t="s">
        <v>790</v>
      </c>
      <c r="C340">
        <v>0.25</v>
      </c>
      <c r="D340">
        <v>0</v>
      </c>
      <c r="E340">
        <v>0.05</v>
      </c>
      <c r="F340">
        <v>0.7</v>
      </c>
      <c r="G340">
        <v>6.05</v>
      </c>
      <c r="H340">
        <v>0.71109999999999995</v>
      </c>
      <c r="I340">
        <v>128.4</v>
      </c>
    </row>
    <row r="341" spans="1:9">
      <c r="A341" t="s">
        <v>861</v>
      </c>
      <c r="B341" t="s">
        <v>791</v>
      </c>
      <c r="C341">
        <v>0.25</v>
      </c>
      <c r="D341">
        <v>0</v>
      </c>
      <c r="E341">
        <v>0.05</v>
      </c>
      <c r="F341">
        <v>0.7</v>
      </c>
      <c r="G341">
        <v>6.05</v>
      </c>
      <c r="H341">
        <v>0.71109999999999995</v>
      </c>
      <c r="I341">
        <v>106.99</v>
      </c>
    </row>
    <row r="342" spans="1:9">
      <c r="A342" t="s">
        <v>861</v>
      </c>
      <c r="B342" t="s">
        <v>792</v>
      </c>
      <c r="C342">
        <v>0.25</v>
      </c>
      <c r="D342">
        <v>0</v>
      </c>
      <c r="E342">
        <v>0.05</v>
      </c>
      <c r="F342">
        <v>0.7</v>
      </c>
      <c r="G342">
        <v>6.05</v>
      </c>
      <c r="H342">
        <v>0.71109999999999995</v>
      </c>
      <c r="I342">
        <v>93.15</v>
      </c>
    </row>
    <row r="343" spans="1:9">
      <c r="A343" t="s">
        <v>861</v>
      </c>
      <c r="B343" t="s">
        <v>793</v>
      </c>
      <c r="C343">
        <v>0.25</v>
      </c>
      <c r="D343">
        <v>0</v>
      </c>
      <c r="E343">
        <v>0.05</v>
      </c>
      <c r="F343">
        <v>0.7</v>
      </c>
      <c r="G343">
        <v>6.05</v>
      </c>
      <c r="H343">
        <v>0.71109999999999995</v>
      </c>
      <c r="I343">
        <v>84.6</v>
      </c>
    </row>
    <row r="344" spans="1:9">
      <c r="A344" t="s">
        <v>861</v>
      </c>
      <c r="B344" t="s">
        <v>794</v>
      </c>
      <c r="C344">
        <v>0.25</v>
      </c>
      <c r="D344">
        <v>0</v>
      </c>
      <c r="E344">
        <v>0.05</v>
      </c>
      <c r="F344">
        <v>0.7</v>
      </c>
      <c r="G344">
        <v>6.05</v>
      </c>
      <c r="H344">
        <v>0.71109999999999995</v>
      </c>
      <c r="I344">
        <v>83.18</v>
      </c>
    </row>
    <row r="345" spans="1:9">
      <c r="A345" t="s">
        <v>862</v>
      </c>
      <c r="B345" t="s">
        <v>790</v>
      </c>
      <c r="C345">
        <v>0.25</v>
      </c>
      <c r="D345">
        <v>0</v>
      </c>
      <c r="E345">
        <v>0.05</v>
      </c>
      <c r="F345">
        <v>0.7</v>
      </c>
      <c r="G345">
        <v>6.05</v>
      </c>
      <c r="H345">
        <v>0.71109999999999995</v>
      </c>
      <c r="I345">
        <v>132.29</v>
      </c>
    </row>
    <row r="346" spans="1:9">
      <c r="A346" t="s">
        <v>862</v>
      </c>
      <c r="B346" t="s">
        <v>791</v>
      </c>
      <c r="C346">
        <v>0.25</v>
      </c>
      <c r="D346">
        <v>0</v>
      </c>
      <c r="E346">
        <v>0.05</v>
      </c>
      <c r="F346">
        <v>0.7</v>
      </c>
      <c r="G346">
        <v>6.05</v>
      </c>
      <c r="H346">
        <v>0.71109999999999995</v>
      </c>
      <c r="I346">
        <v>110.29</v>
      </c>
    </row>
    <row r="347" spans="1:9">
      <c r="A347" t="s">
        <v>862</v>
      </c>
      <c r="B347" t="s">
        <v>792</v>
      </c>
      <c r="C347">
        <v>0.25</v>
      </c>
      <c r="D347">
        <v>0</v>
      </c>
      <c r="E347">
        <v>0.05</v>
      </c>
      <c r="F347">
        <v>0.7</v>
      </c>
      <c r="G347">
        <v>6.05</v>
      </c>
      <c r="H347">
        <v>0.71109999999999995</v>
      </c>
      <c r="I347">
        <v>96</v>
      </c>
    </row>
    <row r="348" spans="1:9">
      <c r="A348" t="s">
        <v>862</v>
      </c>
      <c r="B348" t="s">
        <v>793</v>
      </c>
      <c r="C348">
        <v>0.25</v>
      </c>
      <c r="D348">
        <v>0</v>
      </c>
      <c r="E348">
        <v>0.05</v>
      </c>
      <c r="F348">
        <v>0.7</v>
      </c>
      <c r="G348">
        <v>6.05</v>
      </c>
      <c r="H348">
        <v>0.71109999999999995</v>
      </c>
      <c r="I348">
        <v>87.29</v>
      </c>
    </row>
    <row r="349" spans="1:9">
      <c r="A349" t="s">
        <v>862</v>
      </c>
      <c r="B349" t="s">
        <v>794</v>
      </c>
      <c r="C349">
        <v>0.25</v>
      </c>
      <c r="D349">
        <v>0</v>
      </c>
      <c r="E349">
        <v>0.05</v>
      </c>
      <c r="F349">
        <v>0.7</v>
      </c>
      <c r="G349">
        <v>6.05</v>
      </c>
      <c r="H349">
        <v>0.71109999999999995</v>
      </c>
      <c r="I349">
        <v>85.85</v>
      </c>
    </row>
    <row r="350" spans="1:9">
      <c r="A350" t="s">
        <v>863</v>
      </c>
      <c r="B350" t="s">
        <v>790</v>
      </c>
      <c r="C350">
        <v>0.25</v>
      </c>
      <c r="D350">
        <v>0</v>
      </c>
      <c r="E350">
        <v>0.05</v>
      </c>
      <c r="F350">
        <v>0.7</v>
      </c>
      <c r="G350">
        <v>6.05</v>
      </c>
      <c r="H350">
        <v>0.71109999999999995</v>
      </c>
      <c r="I350">
        <v>136.30000000000001</v>
      </c>
    </row>
    <row r="351" spans="1:9">
      <c r="A351" t="s">
        <v>863</v>
      </c>
      <c r="B351" t="s">
        <v>791</v>
      </c>
      <c r="C351">
        <v>0.25</v>
      </c>
      <c r="D351">
        <v>0</v>
      </c>
      <c r="E351">
        <v>0.05</v>
      </c>
      <c r="F351">
        <v>0.7</v>
      </c>
      <c r="G351">
        <v>6.05</v>
      </c>
      <c r="H351">
        <v>0.71109999999999995</v>
      </c>
      <c r="I351">
        <v>113.69</v>
      </c>
    </row>
    <row r="352" spans="1:9">
      <c r="A352" t="s">
        <v>863</v>
      </c>
      <c r="B352" t="s">
        <v>792</v>
      </c>
      <c r="C352">
        <v>0.25</v>
      </c>
      <c r="D352">
        <v>0</v>
      </c>
      <c r="E352">
        <v>0.05</v>
      </c>
      <c r="F352">
        <v>0.7</v>
      </c>
      <c r="G352">
        <v>6.05</v>
      </c>
      <c r="H352">
        <v>0.71109999999999995</v>
      </c>
      <c r="I352">
        <v>98.96</v>
      </c>
    </row>
    <row r="353" spans="1:9">
      <c r="A353" t="s">
        <v>863</v>
      </c>
      <c r="B353" t="s">
        <v>793</v>
      </c>
      <c r="C353">
        <v>0.25</v>
      </c>
      <c r="D353">
        <v>0</v>
      </c>
      <c r="E353">
        <v>0.05</v>
      </c>
      <c r="F353">
        <v>0.7</v>
      </c>
      <c r="G353">
        <v>6.05</v>
      </c>
      <c r="H353">
        <v>0.71109999999999995</v>
      </c>
      <c r="I353">
        <v>90.06</v>
      </c>
    </row>
    <row r="354" spans="1:9">
      <c r="A354" t="s">
        <v>863</v>
      </c>
      <c r="B354" t="s">
        <v>794</v>
      </c>
      <c r="C354">
        <v>0.25</v>
      </c>
      <c r="D354">
        <v>0</v>
      </c>
      <c r="E354">
        <v>0.05</v>
      </c>
      <c r="F354">
        <v>0.7</v>
      </c>
      <c r="G354">
        <v>6.05</v>
      </c>
      <c r="H354">
        <v>0.71109999999999995</v>
      </c>
      <c r="I354">
        <v>88.62</v>
      </c>
    </row>
    <row r="355" spans="1:9">
      <c r="A355" t="s">
        <v>864</v>
      </c>
      <c r="B355" t="s">
        <v>790</v>
      </c>
      <c r="C355">
        <v>0.25</v>
      </c>
      <c r="D355">
        <v>0</v>
      </c>
      <c r="E355">
        <v>0.05</v>
      </c>
      <c r="F355">
        <v>0.7</v>
      </c>
      <c r="G355">
        <v>6.05</v>
      </c>
      <c r="H355">
        <v>0.71109999999999995</v>
      </c>
      <c r="I355">
        <v>123.3</v>
      </c>
    </row>
    <row r="356" spans="1:9">
      <c r="A356" t="s">
        <v>864</v>
      </c>
      <c r="B356" t="s">
        <v>791</v>
      </c>
      <c r="C356">
        <v>0.25</v>
      </c>
      <c r="D356">
        <v>0</v>
      </c>
      <c r="E356">
        <v>0.05</v>
      </c>
      <c r="F356">
        <v>0.7</v>
      </c>
      <c r="G356">
        <v>6.05</v>
      </c>
      <c r="H356">
        <v>0.71109999999999995</v>
      </c>
      <c r="I356">
        <v>104.13</v>
      </c>
    </row>
    <row r="357" spans="1:9">
      <c r="A357" t="s">
        <v>864</v>
      </c>
      <c r="B357" t="s">
        <v>792</v>
      </c>
      <c r="C357">
        <v>0.25</v>
      </c>
      <c r="D357">
        <v>0</v>
      </c>
      <c r="E357">
        <v>0.05</v>
      </c>
      <c r="F357">
        <v>0.7</v>
      </c>
      <c r="G357">
        <v>6.05</v>
      </c>
      <c r="H357">
        <v>0.71109999999999995</v>
      </c>
      <c r="I357">
        <v>90.84</v>
      </c>
    </row>
    <row r="358" spans="1:9">
      <c r="A358" t="s">
        <v>864</v>
      </c>
      <c r="B358" t="s">
        <v>793</v>
      </c>
      <c r="C358">
        <v>0.25</v>
      </c>
      <c r="D358">
        <v>0</v>
      </c>
      <c r="E358">
        <v>0.05</v>
      </c>
      <c r="F358">
        <v>0.7</v>
      </c>
      <c r="G358">
        <v>6.05</v>
      </c>
      <c r="H358">
        <v>0.71109999999999995</v>
      </c>
      <c r="I358">
        <v>82.46</v>
      </c>
    </row>
    <row r="359" spans="1:9">
      <c r="A359" t="s">
        <v>864</v>
      </c>
      <c r="B359" t="s">
        <v>794</v>
      </c>
      <c r="C359">
        <v>0.25</v>
      </c>
      <c r="D359">
        <v>0</v>
      </c>
      <c r="E359">
        <v>0.05</v>
      </c>
      <c r="F359">
        <v>0.7</v>
      </c>
      <c r="G359">
        <v>6.05</v>
      </c>
      <c r="H359">
        <v>0.71109999999999995</v>
      </c>
      <c r="I359">
        <v>81.16</v>
      </c>
    </row>
    <row r="360" spans="1:9">
      <c r="A360" t="s">
        <v>865</v>
      </c>
      <c r="B360" t="s">
        <v>790</v>
      </c>
      <c r="C360">
        <v>0.25</v>
      </c>
      <c r="D360">
        <v>0</v>
      </c>
      <c r="E360">
        <v>0.05</v>
      </c>
      <c r="F360">
        <v>0.7</v>
      </c>
      <c r="G360">
        <v>6.05</v>
      </c>
      <c r="H360">
        <v>0.71109999999999995</v>
      </c>
      <c r="I360">
        <v>127.18</v>
      </c>
    </row>
    <row r="361" spans="1:9">
      <c r="A361" t="s">
        <v>865</v>
      </c>
      <c r="B361" t="s">
        <v>791</v>
      </c>
      <c r="C361">
        <v>0.25</v>
      </c>
      <c r="D361">
        <v>0</v>
      </c>
      <c r="E361">
        <v>0.05</v>
      </c>
      <c r="F361">
        <v>0.7</v>
      </c>
      <c r="G361">
        <v>6.05</v>
      </c>
      <c r="H361">
        <v>0.71109999999999995</v>
      </c>
      <c r="I361">
        <v>107.42</v>
      </c>
    </row>
    <row r="362" spans="1:9">
      <c r="A362" t="s">
        <v>865</v>
      </c>
      <c r="B362" t="s">
        <v>792</v>
      </c>
      <c r="C362">
        <v>0.25</v>
      </c>
      <c r="D362">
        <v>0</v>
      </c>
      <c r="E362">
        <v>0.05</v>
      </c>
      <c r="F362">
        <v>0.7</v>
      </c>
      <c r="G362">
        <v>6.05</v>
      </c>
      <c r="H362">
        <v>0.71109999999999995</v>
      </c>
      <c r="I362">
        <v>93.7</v>
      </c>
    </row>
    <row r="363" spans="1:9">
      <c r="A363" t="s">
        <v>865</v>
      </c>
      <c r="B363" t="s">
        <v>793</v>
      </c>
      <c r="C363">
        <v>0.25</v>
      </c>
      <c r="D363">
        <v>0</v>
      </c>
      <c r="E363">
        <v>0.05</v>
      </c>
      <c r="F363">
        <v>0.7</v>
      </c>
      <c r="G363">
        <v>6.05</v>
      </c>
      <c r="H363">
        <v>0.71109999999999995</v>
      </c>
      <c r="I363">
        <v>85.15</v>
      </c>
    </row>
    <row r="364" spans="1:9">
      <c r="A364" t="s">
        <v>865</v>
      </c>
      <c r="B364" t="s">
        <v>794</v>
      </c>
      <c r="C364">
        <v>0.25</v>
      </c>
      <c r="D364">
        <v>0</v>
      </c>
      <c r="E364">
        <v>0.05</v>
      </c>
      <c r="F364">
        <v>0.7</v>
      </c>
      <c r="G364">
        <v>6.05</v>
      </c>
      <c r="H364">
        <v>0.71109999999999995</v>
      </c>
      <c r="I364">
        <v>83.83</v>
      </c>
    </row>
    <row r="365" spans="1:9">
      <c r="A365" t="s">
        <v>866</v>
      </c>
      <c r="B365" t="s">
        <v>790</v>
      </c>
      <c r="C365">
        <v>0.25</v>
      </c>
      <c r="D365">
        <v>0</v>
      </c>
      <c r="E365">
        <v>0.05</v>
      </c>
      <c r="F365">
        <v>0.7</v>
      </c>
      <c r="G365">
        <v>6.05</v>
      </c>
      <c r="H365">
        <v>0.71109999999999995</v>
      </c>
      <c r="I365">
        <v>131.19999999999999</v>
      </c>
    </row>
    <row r="366" spans="1:9">
      <c r="A366" t="s">
        <v>866</v>
      </c>
      <c r="B366" t="s">
        <v>791</v>
      </c>
      <c r="C366">
        <v>0.25</v>
      </c>
      <c r="D366">
        <v>0</v>
      </c>
      <c r="E366">
        <v>0.05</v>
      </c>
      <c r="F366">
        <v>0.7</v>
      </c>
      <c r="G366">
        <v>6.05</v>
      </c>
      <c r="H366">
        <v>0.71109999999999995</v>
      </c>
      <c r="I366">
        <v>110.83</v>
      </c>
    </row>
    <row r="367" spans="1:9">
      <c r="A367" t="s">
        <v>866</v>
      </c>
      <c r="B367" t="s">
        <v>792</v>
      </c>
      <c r="C367">
        <v>0.25</v>
      </c>
      <c r="D367">
        <v>0</v>
      </c>
      <c r="E367">
        <v>0.05</v>
      </c>
      <c r="F367">
        <v>0.7</v>
      </c>
      <c r="G367">
        <v>6.05</v>
      </c>
      <c r="H367">
        <v>0.71109999999999995</v>
      </c>
      <c r="I367">
        <v>96.65</v>
      </c>
    </row>
    <row r="368" spans="1:9">
      <c r="A368" t="s">
        <v>866</v>
      </c>
      <c r="B368" t="s">
        <v>793</v>
      </c>
      <c r="C368">
        <v>0.25</v>
      </c>
      <c r="D368">
        <v>0</v>
      </c>
      <c r="E368">
        <v>0.05</v>
      </c>
      <c r="F368">
        <v>0.7</v>
      </c>
      <c r="G368">
        <v>6.05</v>
      </c>
      <c r="H368">
        <v>0.71109999999999995</v>
      </c>
      <c r="I368">
        <v>87.92</v>
      </c>
    </row>
    <row r="369" spans="1:9">
      <c r="A369" t="s">
        <v>866</v>
      </c>
      <c r="B369" t="s">
        <v>794</v>
      </c>
      <c r="C369">
        <v>0.25</v>
      </c>
      <c r="D369">
        <v>0</v>
      </c>
      <c r="E369">
        <v>0.05</v>
      </c>
      <c r="F369">
        <v>0.7</v>
      </c>
      <c r="G369">
        <v>6.05</v>
      </c>
      <c r="H369">
        <v>0.71109999999999995</v>
      </c>
      <c r="I369">
        <v>86.59</v>
      </c>
    </row>
    <row r="370" spans="1:9">
      <c r="A370" t="s">
        <v>867</v>
      </c>
      <c r="B370" t="s">
        <v>790</v>
      </c>
      <c r="C370">
        <v>0.25</v>
      </c>
      <c r="D370">
        <v>0</v>
      </c>
      <c r="E370">
        <v>0.05</v>
      </c>
      <c r="F370">
        <v>0.7</v>
      </c>
      <c r="G370">
        <v>6.05</v>
      </c>
      <c r="H370">
        <v>0.71109999999999995</v>
      </c>
      <c r="I370">
        <v>126.83</v>
      </c>
    </row>
    <row r="371" spans="1:9">
      <c r="A371" t="s">
        <v>867</v>
      </c>
      <c r="B371" t="s">
        <v>791</v>
      </c>
      <c r="C371">
        <v>0.25</v>
      </c>
      <c r="D371">
        <v>0</v>
      </c>
      <c r="E371">
        <v>0.05</v>
      </c>
      <c r="F371">
        <v>0.7</v>
      </c>
      <c r="G371">
        <v>6.05</v>
      </c>
      <c r="H371">
        <v>0.71109999999999995</v>
      </c>
      <c r="I371">
        <v>106.51</v>
      </c>
    </row>
    <row r="372" spans="1:9">
      <c r="A372" t="s">
        <v>867</v>
      </c>
      <c r="B372" t="s">
        <v>792</v>
      </c>
      <c r="C372">
        <v>0.25</v>
      </c>
      <c r="D372">
        <v>0</v>
      </c>
      <c r="E372">
        <v>0.05</v>
      </c>
      <c r="F372">
        <v>0.7</v>
      </c>
      <c r="G372">
        <v>6.05</v>
      </c>
      <c r="H372">
        <v>0.71109999999999995</v>
      </c>
      <c r="I372">
        <v>92.82</v>
      </c>
    </row>
    <row r="373" spans="1:9">
      <c r="A373" t="s">
        <v>867</v>
      </c>
      <c r="B373" t="s">
        <v>793</v>
      </c>
      <c r="C373">
        <v>0.25</v>
      </c>
      <c r="D373">
        <v>0</v>
      </c>
      <c r="E373">
        <v>0.05</v>
      </c>
      <c r="F373">
        <v>0.7</v>
      </c>
      <c r="G373">
        <v>6.05</v>
      </c>
      <c r="H373">
        <v>0.71109999999999995</v>
      </c>
      <c r="I373">
        <v>84.23</v>
      </c>
    </row>
    <row r="374" spans="1:9">
      <c r="A374" t="s">
        <v>867</v>
      </c>
      <c r="B374" t="s">
        <v>794</v>
      </c>
      <c r="C374">
        <v>0.25</v>
      </c>
      <c r="D374">
        <v>0</v>
      </c>
      <c r="E374">
        <v>0.05</v>
      </c>
      <c r="F374">
        <v>0.7</v>
      </c>
      <c r="G374">
        <v>6.05</v>
      </c>
      <c r="H374">
        <v>0.71109999999999995</v>
      </c>
      <c r="I374">
        <v>82.86</v>
      </c>
    </row>
    <row r="375" spans="1:9">
      <c r="A375" t="s">
        <v>868</v>
      </c>
      <c r="B375" t="s">
        <v>790</v>
      </c>
      <c r="C375">
        <v>0.25</v>
      </c>
      <c r="D375">
        <v>0</v>
      </c>
      <c r="E375">
        <v>0.05</v>
      </c>
      <c r="F375">
        <v>0.7</v>
      </c>
      <c r="G375">
        <v>6.05</v>
      </c>
      <c r="H375">
        <v>0.71109999999999995</v>
      </c>
      <c r="I375">
        <v>130.72</v>
      </c>
    </row>
    <row r="376" spans="1:9">
      <c r="A376" t="s">
        <v>868</v>
      </c>
      <c r="B376" t="s">
        <v>791</v>
      </c>
      <c r="C376">
        <v>0.25</v>
      </c>
      <c r="D376">
        <v>0</v>
      </c>
      <c r="E376">
        <v>0.05</v>
      </c>
      <c r="F376">
        <v>0.7</v>
      </c>
      <c r="G376">
        <v>6.05</v>
      </c>
      <c r="H376">
        <v>0.71109999999999995</v>
      </c>
      <c r="I376">
        <v>109.8</v>
      </c>
    </row>
    <row r="377" spans="1:9">
      <c r="A377" t="s">
        <v>868</v>
      </c>
      <c r="B377" t="s">
        <v>792</v>
      </c>
      <c r="C377">
        <v>0.25</v>
      </c>
      <c r="D377">
        <v>0</v>
      </c>
      <c r="E377">
        <v>0.05</v>
      </c>
      <c r="F377">
        <v>0.7</v>
      </c>
      <c r="G377">
        <v>6.05</v>
      </c>
      <c r="H377">
        <v>0.71109999999999995</v>
      </c>
      <c r="I377">
        <v>95.67</v>
      </c>
    </row>
    <row r="378" spans="1:9">
      <c r="A378" t="s">
        <v>868</v>
      </c>
      <c r="B378" t="s">
        <v>793</v>
      </c>
      <c r="C378">
        <v>0.25</v>
      </c>
      <c r="D378">
        <v>0</v>
      </c>
      <c r="E378">
        <v>0.05</v>
      </c>
      <c r="F378">
        <v>0.7</v>
      </c>
      <c r="G378">
        <v>6.05</v>
      </c>
      <c r="H378">
        <v>0.71109999999999995</v>
      </c>
      <c r="I378">
        <v>86.92</v>
      </c>
    </row>
    <row r="379" spans="1:9">
      <c r="A379" t="s">
        <v>868</v>
      </c>
      <c r="B379" t="s">
        <v>794</v>
      </c>
      <c r="C379">
        <v>0.25</v>
      </c>
      <c r="D379">
        <v>0</v>
      </c>
      <c r="E379">
        <v>0.05</v>
      </c>
      <c r="F379">
        <v>0.7</v>
      </c>
      <c r="G379">
        <v>6.05</v>
      </c>
      <c r="H379">
        <v>0.71109999999999995</v>
      </c>
      <c r="I379">
        <v>85.53</v>
      </c>
    </row>
    <row r="380" spans="1:9">
      <c r="A380" t="s">
        <v>869</v>
      </c>
      <c r="B380" t="s">
        <v>790</v>
      </c>
      <c r="C380">
        <v>0.25</v>
      </c>
      <c r="D380">
        <v>0</v>
      </c>
      <c r="E380">
        <v>0.05</v>
      </c>
      <c r="F380">
        <v>0.7</v>
      </c>
      <c r="G380">
        <v>6.05</v>
      </c>
      <c r="H380">
        <v>0.71109999999999995</v>
      </c>
      <c r="I380">
        <v>134.74</v>
      </c>
    </row>
    <row r="381" spans="1:9">
      <c r="A381" t="s">
        <v>869</v>
      </c>
      <c r="B381" t="s">
        <v>791</v>
      </c>
      <c r="C381">
        <v>0.25</v>
      </c>
      <c r="D381">
        <v>0</v>
      </c>
      <c r="E381">
        <v>0.05</v>
      </c>
      <c r="F381">
        <v>0.7</v>
      </c>
      <c r="G381">
        <v>6.05</v>
      </c>
      <c r="H381">
        <v>0.71109999999999995</v>
      </c>
      <c r="I381">
        <v>113.21</v>
      </c>
    </row>
    <row r="382" spans="1:9">
      <c r="A382" t="s">
        <v>869</v>
      </c>
      <c r="B382" t="s">
        <v>792</v>
      </c>
      <c r="C382">
        <v>0.25</v>
      </c>
      <c r="D382">
        <v>0</v>
      </c>
      <c r="E382">
        <v>0.05</v>
      </c>
      <c r="F382">
        <v>0.7</v>
      </c>
      <c r="G382">
        <v>6.05</v>
      </c>
      <c r="H382">
        <v>0.71109999999999995</v>
      </c>
      <c r="I382">
        <v>98.63</v>
      </c>
    </row>
    <row r="383" spans="1:9">
      <c r="A383" t="s">
        <v>869</v>
      </c>
      <c r="B383" t="s">
        <v>793</v>
      </c>
      <c r="C383">
        <v>0.25</v>
      </c>
      <c r="D383">
        <v>0</v>
      </c>
      <c r="E383">
        <v>0.05</v>
      </c>
      <c r="F383">
        <v>0.7</v>
      </c>
      <c r="G383">
        <v>6.05</v>
      </c>
      <c r="H383">
        <v>0.71109999999999995</v>
      </c>
      <c r="I383">
        <v>89.69</v>
      </c>
    </row>
    <row r="384" spans="1:9">
      <c r="A384" t="s">
        <v>869</v>
      </c>
      <c r="B384" t="s">
        <v>794</v>
      </c>
      <c r="C384">
        <v>0.25</v>
      </c>
      <c r="D384">
        <v>0</v>
      </c>
      <c r="E384">
        <v>0.05</v>
      </c>
      <c r="F384">
        <v>0.7</v>
      </c>
      <c r="G384">
        <v>6.05</v>
      </c>
      <c r="H384">
        <v>0.71109999999999995</v>
      </c>
      <c r="I384">
        <v>88.29</v>
      </c>
    </row>
    <row r="385" spans="1:9">
      <c r="A385" t="s">
        <v>870</v>
      </c>
      <c r="B385" t="s">
        <v>790</v>
      </c>
      <c r="C385">
        <v>0.25</v>
      </c>
      <c r="D385">
        <v>0</v>
      </c>
      <c r="E385">
        <v>0.05</v>
      </c>
      <c r="F385">
        <v>0.7</v>
      </c>
      <c r="G385">
        <v>6.05</v>
      </c>
      <c r="H385">
        <v>0.71109999999999995</v>
      </c>
      <c r="I385">
        <v>130.51</v>
      </c>
    </row>
    <row r="386" spans="1:9">
      <c r="A386" t="s">
        <v>870</v>
      </c>
      <c r="B386" t="s">
        <v>791</v>
      </c>
      <c r="C386">
        <v>0.25</v>
      </c>
      <c r="D386">
        <v>0</v>
      </c>
      <c r="E386">
        <v>0.05</v>
      </c>
      <c r="F386">
        <v>0.7</v>
      </c>
      <c r="G386">
        <v>6.05</v>
      </c>
      <c r="H386">
        <v>0.71109999999999995</v>
      </c>
      <c r="I386">
        <v>108.98</v>
      </c>
    </row>
    <row r="387" spans="1:9">
      <c r="A387" t="s">
        <v>870</v>
      </c>
      <c r="B387" t="s">
        <v>792</v>
      </c>
      <c r="C387">
        <v>0.25</v>
      </c>
      <c r="D387">
        <v>0</v>
      </c>
      <c r="E387">
        <v>0.05</v>
      </c>
      <c r="F387">
        <v>0.7</v>
      </c>
      <c r="G387">
        <v>6.05</v>
      </c>
      <c r="H387">
        <v>0.71109999999999995</v>
      </c>
      <c r="I387">
        <v>94.87</v>
      </c>
    </row>
    <row r="388" spans="1:9">
      <c r="A388" t="s">
        <v>870</v>
      </c>
      <c r="B388" t="s">
        <v>793</v>
      </c>
      <c r="C388">
        <v>0.25</v>
      </c>
      <c r="D388">
        <v>0</v>
      </c>
      <c r="E388">
        <v>0.05</v>
      </c>
      <c r="F388">
        <v>0.7</v>
      </c>
      <c r="G388">
        <v>6.05</v>
      </c>
      <c r="H388">
        <v>0.71109999999999995</v>
      </c>
      <c r="I388">
        <v>86.07</v>
      </c>
    </row>
    <row r="389" spans="1:9">
      <c r="A389" t="s">
        <v>870</v>
      </c>
      <c r="B389" t="s">
        <v>794</v>
      </c>
      <c r="C389">
        <v>0.25</v>
      </c>
      <c r="D389">
        <v>0</v>
      </c>
      <c r="E389">
        <v>0.05</v>
      </c>
      <c r="F389">
        <v>0.7</v>
      </c>
      <c r="G389">
        <v>6.05</v>
      </c>
      <c r="H389">
        <v>0.71109999999999995</v>
      </c>
      <c r="I389">
        <v>84.62</v>
      </c>
    </row>
    <row r="390" spans="1:9">
      <c r="A390" t="s">
        <v>871</v>
      </c>
      <c r="B390" t="s">
        <v>790</v>
      </c>
      <c r="C390">
        <v>0.25</v>
      </c>
      <c r="D390">
        <v>0</v>
      </c>
      <c r="E390">
        <v>0.05</v>
      </c>
      <c r="F390">
        <v>0.7</v>
      </c>
      <c r="G390">
        <v>6.05</v>
      </c>
      <c r="H390">
        <v>0.71109999999999995</v>
      </c>
      <c r="I390">
        <v>134.38999999999999</v>
      </c>
    </row>
    <row r="391" spans="1:9">
      <c r="A391" t="s">
        <v>871</v>
      </c>
      <c r="B391" t="s">
        <v>791</v>
      </c>
      <c r="C391">
        <v>0.25</v>
      </c>
      <c r="D391">
        <v>0</v>
      </c>
      <c r="E391">
        <v>0.05</v>
      </c>
      <c r="F391">
        <v>0.7</v>
      </c>
      <c r="G391">
        <v>6.05</v>
      </c>
      <c r="H391">
        <v>0.71109999999999995</v>
      </c>
      <c r="I391">
        <v>112.28</v>
      </c>
    </row>
    <row r="392" spans="1:9">
      <c r="A392" t="s">
        <v>871</v>
      </c>
      <c r="B392" t="s">
        <v>792</v>
      </c>
      <c r="C392">
        <v>0.25</v>
      </c>
      <c r="D392">
        <v>0</v>
      </c>
      <c r="E392">
        <v>0.05</v>
      </c>
      <c r="F392">
        <v>0.7</v>
      </c>
      <c r="G392">
        <v>6.05</v>
      </c>
      <c r="H392">
        <v>0.71109999999999995</v>
      </c>
      <c r="I392">
        <v>97.73</v>
      </c>
    </row>
    <row r="393" spans="1:9">
      <c r="A393" t="s">
        <v>871</v>
      </c>
      <c r="B393" t="s">
        <v>793</v>
      </c>
      <c r="C393">
        <v>0.25</v>
      </c>
      <c r="D393">
        <v>0</v>
      </c>
      <c r="E393">
        <v>0.05</v>
      </c>
      <c r="F393">
        <v>0.7</v>
      </c>
      <c r="G393">
        <v>6.05</v>
      </c>
      <c r="H393">
        <v>0.71109999999999995</v>
      </c>
      <c r="I393">
        <v>88.76</v>
      </c>
    </row>
    <row r="394" spans="1:9">
      <c r="A394" t="s">
        <v>871</v>
      </c>
      <c r="B394" t="s">
        <v>794</v>
      </c>
      <c r="C394">
        <v>0.25</v>
      </c>
      <c r="D394">
        <v>0</v>
      </c>
      <c r="E394">
        <v>0.05</v>
      </c>
      <c r="F394">
        <v>0.7</v>
      </c>
      <c r="G394">
        <v>6.05</v>
      </c>
      <c r="H394">
        <v>0.71109999999999995</v>
      </c>
      <c r="I394">
        <v>87.3</v>
      </c>
    </row>
    <row r="395" spans="1:9">
      <c r="A395" t="s">
        <v>872</v>
      </c>
      <c r="B395" t="s">
        <v>790</v>
      </c>
      <c r="C395">
        <v>0.25</v>
      </c>
      <c r="D395">
        <v>0</v>
      </c>
      <c r="E395">
        <v>0.05</v>
      </c>
      <c r="F395">
        <v>0.7</v>
      </c>
      <c r="G395">
        <v>6.05</v>
      </c>
      <c r="H395">
        <v>0.71109999999999995</v>
      </c>
      <c r="I395">
        <v>138.41</v>
      </c>
    </row>
    <row r="396" spans="1:9">
      <c r="A396" t="s">
        <v>872</v>
      </c>
      <c r="B396" t="s">
        <v>791</v>
      </c>
      <c r="C396">
        <v>0.25</v>
      </c>
      <c r="D396">
        <v>0</v>
      </c>
      <c r="E396">
        <v>0.05</v>
      </c>
      <c r="F396">
        <v>0.7</v>
      </c>
      <c r="G396">
        <v>6.05</v>
      </c>
      <c r="H396">
        <v>0.71109999999999995</v>
      </c>
      <c r="I396">
        <v>115.68</v>
      </c>
    </row>
    <row r="397" spans="1:9">
      <c r="A397" t="s">
        <v>872</v>
      </c>
      <c r="B397" t="s">
        <v>792</v>
      </c>
      <c r="C397">
        <v>0.25</v>
      </c>
      <c r="D397">
        <v>0</v>
      </c>
      <c r="E397">
        <v>0.05</v>
      </c>
      <c r="F397">
        <v>0.7</v>
      </c>
      <c r="G397">
        <v>6.05</v>
      </c>
      <c r="H397">
        <v>0.71109999999999995</v>
      </c>
      <c r="I397">
        <v>100.68</v>
      </c>
    </row>
    <row r="398" spans="1:9">
      <c r="A398" t="s">
        <v>872</v>
      </c>
      <c r="B398" t="s">
        <v>793</v>
      </c>
      <c r="C398">
        <v>0.25</v>
      </c>
      <c r="D398">
        <v>0</v>
      </c>
      <c r="E398">
        <v>0.05</v>
      </c>
      <c r="F398">
        <v>0.7</v>
      </c>
      <c r="G398">
        <v>6.05</v>
      </c>
      <c r="H398">
        <v>0.71109999999999995</v>
      </c>
      <c r="I398">
        <v>91.53</v>
      </c>
    </row>
    <row r="399" spans="1:9">
      <c r="A399" t="s">
        <v>872</v>
      </c>
      <c r="B399" t="s">
        <v>794</v>
      </c>
      <c r="C399">
        <v>0.25</v>
      </c>
      <c r="D399">
        <v>0</v>
      </c>
      <c r="E399">
        <v>0.05</v>
      </c>
      <c r="F399">
        <v>0.7</v>
      </c>
      <c r="G399">
        <v>6.05</v>
      </c>
      <c r="H399">
        <v>0.71109999999999995</v>
      </c>
      <c r="I399">
        <v>90.06</v>
      </c>
    </row>
    <row r="400" spans="1:9">
      <c r="A400" t="s">
        <v>873</v>
      </c>
      <c r="B400" t="s">
        <v>790</v>
      </c>
      <c r="C400">
        <v>0.25</v>
      </c>
      <c r="D400">
        <v>0</v>
      </c>
      <c r="E400">
        <v>0.05</v>
      </c>
      <c r="F400">
        <v>0.7</v>
      </c>
      <c r="G400">
        <v>6.05</v>
      </c>
      <c r="H400">
        <v>0.71109999999999995</v>
      </c>
      <c r="I400">
        <v>125.47</v>
      </c>
    </row>
    <row r="401" spans="1:9">
      <c r="A401" t="s">
        <v>873</v>
      </c>
      <c r="B401" t="s">
        <v>791</v>
      </c>
      <c r="C401">
        <v>0.25</v>
      </c>
      <c r="D401">
        <v>0</v>
      </c>
      <c r="E401">
        <v>0.05</v>
      </c>
      <c r="F401">
        <v>0.7</v>
      </c>
      <c r="G401">
        <v>6.05</v>
      </c>
      <c r="H401">
        <v>0.71109999999999995</v>
      </c>
      <c r="I401">
        <v>106.18</v>
      </c>
    </row>
    <row r="402" spans="1:9">
      <c r="A402" t="s">
        <v>873</v>
      </c>
      <c r="B402" t="s">
        <v>792</v>
      </c>
      <c r="C402">
        <v>0.25</v>
      </c>
      <c r="D402">
        <v>0</v>
      </c>
      <c r="E402">
        <v>0.05</v>
      </c>
      <c r="F402">
        <v>0.7</v>
      </c>
      <c r="G402">
        <v>6.05</v>
      </c>
      <c r="H402">
        <v>0.71109999999999995</v>
      </c>
      <c r="I402">
        <v>92.62</v>
      </c>
    </row>
    <row r="403" spans="1:9">
      <c r="A403" t="s">
        <v>873</v>
      </c>
      <c r="B403" t="s">
        <v>793</v>
      </c>
      <c r="C403">
        <v>0.25</v>
      </c>
      <c r="D403">
        <v>0</v>
      </c>
      <c r="E403">
        <v>0.05</v>
      </c>
      <c r="F403">
        <v>0.7</v>
      </c>
      <c r="G403">
        <v>6.05</v>
      </c>
      <c r="H403">
        <v>0.71109999999999995</v>
      </c>
      <c r="I403">
        <v>83.98</v>
      </c>
    </row>
    <row r="404" spans="1:9">
      <c r="A404" t="s">
        <v>873</v>
      </c>
      <c r="B404" t="s">
        <v>794</v>
      </c>
      <c r="C404">
        <v>0.25</v>
      </c>
      <c r="D404">
        <v>0</v>
      </c>
      <c r="E404">
        <v>0.05</v>
      </c>
      <c r="F404">
        <v>0.7</v>
      </c>
      <c r="G404">
        <v>6.05</v>
      </c>
      <c r="H404">
        <v>0.71109999999999995</v>
      </c>
      <c r="I404">
        <v>82.64</v>
      </c>
    </row>
    <row r="405" spans="1:9">
      <c r="A405" t="s">
        <v>874</v>
      </c>
      <c r="B405" t="s">
        <v>790</v>
      </c>
      <c r="C405">
        <v>0.25</v>
      </c>
      <c r="D405">
        <v>0</v>
      </c>
      <c r="E405">
        <v>0.05</v>
      </c>
      <c r="F405">
        <v>0.7</v>
      </c>
      <c r="G405">
        <v>6.05</v>
      </c>
      <c r="H405">
        <v>0.71109999999999995</v>
      </c>
      <c r="I405">
        <v>129.36000000000001</v>
      </c>
    </row>
    <row r="406" spans="1:9">
      <c r="A406" t="s">
        <v>874</v>
      </c>
      <c r="B406" t="s">
        <v>791</v>
      </c>
      <c r="C406">
        <v>0.25</v>
      </c>
      <c r="D406">
        <v>0</v>
      </c>
      <c r="E406">
        <v>0.05</v>
      </c>
      <c r="F406">
        <v>0.7</v>
      </c>
      <c r="G406">
        <v>6.05</v>
      </c>
      <c r="H406">
        <v>0.71109999999999995</v>
      </c>
      <c r="I406">
        <v>109.47</v>
      </c>
    </row>
    <row r="407" spans="1:9">
      <c r="A407" t="s">
        <v>874</v>
      </c>
      <c r="B407" t="s">
        <v>792</v>
      </c>
      <c r="C407">
        <v>0.25</v>
      </c>
      <c r="D407">
        <v>0</v>
      </c>
      <c r="E407">
        <v>0.05</v>
      </c>
      <c r="F407">
        <v>0.7</v>
      </c>
      <c r="G407">
        <v>6.05</v>
      </c>
      <c r="H407">
        <v>0.71109999999999995</v>
      </c>
      <c r="I407">
        <v>95.48</v>
      </c>
    </row>
    <row r="408" spans="1:9">
      <c r="A408" t="s">
        <v>874</v>
      </c>
      <c r="B408" t="s">
        <v>793</v>
      </c>
      <c r="C408">
        <v>0.25</v>
      </c>
      <c r="D408">
        <v>0</v>
      </c>
      <c r="E408">
        <v>0.05</v>
      </c>
      <c r="F408">
        <v>0.7</v>
      </c>
      <c r="G408">
        <v>6.05</v>
      </c>
      <c r="H408">
        <v>0.71109999999999995</v>
      </c>
      <c r="I408">
        <v>86.66</v>
      </c>
    </row>
    <row r="409" spans="1:9">
      <c r="A409" t="s">
        <v>874</v>
      </c>
      <c r="B409" t="s">
        <v>794</v>
      </c>
      <c r="C409">
        <v>0.25</v>
      </c>
      <c r="D409">
        <v>0</v>
      </c>
      <c r="E409">
        <v>0.05</v>
      </c>
      <c r="F409">
        <v>0.7</v>
      </c>
      <c r="G409">
        <v>6.05</v>
      </c>
      <c r="H409">
        <v>0.71109999999999995</v>
      </c>
      <c r="I409">
        <v>85.32</v>
      </c>
    </row>
    <row r="410" spans="1:9">
      <c r="A410" t="s">
        <v>875</v>
      </c>
      <c r="B410" t="s">
        <v>790</v>
      </c>
      <c r="C410">
        <v>0.25</v>
      </c>
      <c r="D410">
        <v>0</v>
      </c>
      <c r="E410">
        <v>0.05</v>
      </c>
      <c r="F410">
        <v>0.7</v>
      </c>
      <c r="G410">
        <v>6.05</v>
      </c>
      <c r="H410">
        <v>0.71109999999999995</v>
      </c>
      <c r="I410">
        <v>133.37</v>
      </c>
    </row>
    <row r="411" spans="1:9">
      <c r="A411" t="s">
        <v>875</v>
      </c>
      <c r="B411" t="s">
        <v>791</v>
      </c>
      <c r="C411">
        <v>0.25</v>
      </c>
      <c r="D411">
        <v>0</v>
      </c>
      <c r="E411">
        <v>0.05</v>
      </c>
      <c r="F411">
        <v>0.7</v>
      </c>
      <c r="G411">
        <v>6.05</v>
      </c>
      <c r="H411">
        <v>0.71109999999999995</v>
      </c>
      <c r="I411">
        <v>112.88</v>
      </c>
    </row>
    <row r="412" spans="1:9">
      <c r="A412" t="s">
        <v>875</v>
      </c>
      <c r="B412" t="s">
        <v>792</v>
      </c>
      <c r="C412">
        <v>0.25</v>
      </c>
      <c r="D412">
        <v>0</v>
      </c>
      <c r="E412">
        <v>0.05</v>
      </c>
      <c r="F412">
        <v>0.7</v>
      </c>
      <c r="G412">
        <v>6.05</v>
      </c>
      <c r="H412">
        <v>0.71109999999999995</v>
      </c>
      <c r="I412">
        <v>98.43</v>
      </c>
    </row>
    <row r="413" spans="1:9">
      <c r="A413" t="s">
        <v>875</v>
      </c>
      <c r="B413" t="s">
        <v>793</v>
      </c>
      <c r="C413">
        <v>0.25</v>
      </c>
      <c r="D413">
        <v>0</v>
      </c>
      <c r="E413">
        <v>0.05</v>
      </c>
      <c r="F413">
        <v>0.7</v>
      </c>
      <c r="G413">
        <v>6.05</v>
      </c>
      <c r="H413">
        <v>0.71109999999999995</v>
      </c>
      <c r="I413">
        <v>89.44</v>
      </c>
    </row>
    <row r="414" spans="1:9">
      <c r="A414" t="s">
        <v>875</v>
      </c>
      <c r="B414" t="s">
        <v>794</v>
      </c>
      <c r="C414">
        <v>0.25</v>
      </c>
      <c r="D414">
        <v>0</v>
      </c>
      <c r="E414">
        <v>0.05</v>
      </c>
      <c r="F414">
        <v>0.7</v>
      </c>
      <c r="G414">
        <v>6.05</v>
      </c>
      <c r="H414">
        <v>0.71109999999999995</v>
      </c>
      <c r="I414">
        <v>88.08</v>
      </c>
    </row>
    <row r="415" spans="1:9">
      <c r="A415" t="s">
        <v>876</v>
      </c>
      <c r="B415" t="s">
        <v>790</v>
      </c>
      <c r="C415">
        <v>0.25</v>
      </c>
      <c r="D415">
        <v>0</v>
      </c>
      <c r="E415">
        <v>0.05</v>
      </c>
      <c r="F415">
        <v>0.7</v>
      </c>
      <c r="G415">
        <v>6.05</v>
      </c>
      <c r="H415">
        <v>0.71109999999999995</v>
      </c>
      <c r="I415">
        <v>129.01</v>
      </c>
    </row>
    <row r="416" spans="1:9">
      <c r="A416" t="s">
        <v>876</v>
      </c>
      <c r="B416" t="s">
        <v>791</v>
      </c>
      <c r="C416">
        <v>0.25</v>
      </c>
      <c r="D416">
        <v>0</v>
      </c>
      <c r="E416">
        <v>0.05</v>
      </c>
      <c r="F416">
        <v>0.7</v>
      </c>
      <c r="G416">
        <v>6.05</v>
      </c>
      <c r="H416">
        <v>0.71109999999999995</v>
      </c>
      <c r="I416">
        <v>108.56</v>
      </c>
    </row>
    <row r="417" spans="1:9">
      <c r="A417" t="s">
        <v>876</v>
      </c>
      <c r="B417" t="s">
        <v>792</v>
      </c>
      <c r="C417">
        <v>0.25</v>
      </c>
      <c r="D417">
        <v>0</v>
      </c>
      <c r="E417">
        <v>0.05</v>
      </c>
      <c r="F417">
        <v>0.7</v>
      </c>
      <c r="G417">
        <v>6.05</v>
      </c>
      <c r="H417">
        <v>0.71109999999999995</v>
      </c>
      <c r="I417">
        <v>94.6</v>
      </c>
    </row>
    <row r="418" spans="1:9">
      <c r="A418" t="s">
        <v>876</v>
      </c>
      <c r="B418" t="s">
        <v>793</v>
      </c>
      <c r="C418">
        <v>0.25</v>
      </c>
      <c r="D418">
        <v>0</v>
      </c>
      <c r="E418">
        <v>0.05</v>
      </c>
      <c r="F418">
        <v>0.7</v>
      </c>
      <c r="G418">
        <v>6.05</v>
      </c>
      <c r="H418">
        <v>0.71109999999999995</v>
      </c>
      <c r="I418">
        <v>85.75</v>
      </c>
    </row>
    <row r="419" spans="1:9">
      <c r="A419" t="s">
        <v>876</v>
      </c>
      <c r="B419" t="s">
        <v>794</v>
      </c>
      <c r="C419">
        <v>0.25</v>
      </c>
      <c r="D419">
        <v>0</v>
      </c>
      <c r="E419">
        <v>0.05</v>
      </c>
      <c r="F419">
        <v>0.7</v>
      </c>
      <c r="G419">
        <v>6.05</v>
      </c>
      <c r="H419">
        <v>0.71109999999999995</v>
      </c>
      <c r="I419">
        <v>84.34</v>
      </c>
    </row>
    <row r="420" spans="1:9">
      <c r="A420" t="s">
        <v>877</v>
      </c>
      <c r="B420" t="s">
        <v>790</v>
      </c>
      <c r="C420">
        <v>0.25</v>
      </c>
      <c r="D420">
        <v>0</v>
      </c>
      <c r="E420">
        <v>0.05</v>
      </c>
      <c r="F420">
        <v>0.7</v>
      </c>
      <c r="G420">
        <v>6.05</v>
      </c>
      <c r="H420">
        <v>0.71109999999999995</v>
      </c>
      <c r="I420">
        <v>132.9</v>
      </c>
    </row>
    <row r="421" spans="1:9">
      <c r="A421" t="s">
        <v>877</v>
      </c>
      <c r="B421" t="s">
        <v>791</v>
      </c>
      <c r="C421">
        <v>0.25</v>
      </c>
      <c r="D421">
        <v>0</v>
      </c>
      <c r="E421">
        <v>0.05</v>
      </c>
      <c r="F421">
        <v>0.7</v>
      </c>
      <c r="G421">
        <v>6.05</v>
      </c>
      <c r="H421">
        <v>0.71109999999999995</v>
      </c>
      <c r="I421">
        <v>111.86</v>
      </c>
    </row>
    <row r="422" spans="1:9">
      <c r="A422" t="s">
        <v>877</v>
      </c>
      <c r="B422" t="s">
        <v>792</v>
      </c>
      <c r="C422">
        <v>0.25</v>
      </c>
      <c r="D422">
        <v>0</v>
      </c>
      <c r="E422">
        <v>0.05</v>
      </c>
      <c r="F422">
        <v>0.7</v>
      </c>
      <c r="G422">
        <v>6.05</v>
      </c>
      <c r="H422">
        <v>0.71109999999999995</v>
      </c>
      <c r="I422">
        <v>97.45</v>
      </c>
    </row>
    <row r="423" spans="1:9">
      <c r="A423" t="s">
        <v>877</v>
      </c>
      <c r="B423" t="s">
        <v>793</v>
      </c>
      <c r="C423">
        <v>0.25</v>
      </c>
      <c r="D423">
        <v>0</v>
      </c>
      <c r="E423">
        <v>0.05</v>
      </c>
      <c r="F423">
        <v>0.7</v>
      </c>
      <c r="G423">
        <v>6.05</v>
      </c>
      <c r="H423">
        <v>0.71109999999999995</v>
      </c>
      <c r="I423">
        <v>88.43</v>
      </c>
    </row>
    <row r="424" spans="1:9">
      <c r="A424" t="s">
        <v>877</v>
      </c>
      <c r="B424" t="s">
        <v>794</v>
      </c>
      <c r="C424">
        <v>0.25</v>
      </c>
      <c r="D424">
        <v>0</v>
      </c>
      <c r="E424">
        <v>0.05</v>
      </c>
      <c r="F424">
        <v>0.7</v>
      </c>
      <c r="G424">
        <v>6.05</v>
      </c>
      <c r="H424">
        <v>0.71109999999999995</v>
      </c>
      <c r="I424">
        <v>87.02</v>
      </c>
    </row>
    <row r="425" spans="1:9">
      <c r="A425" t="s">
        <v>878</v>
      </c>
      <c r="B425" t="s">
        <v>790</v>
      </c>
      <c r="C425">
        <v>0.25</v>
      </c>
      <c r="D425">
        <v>0</v>
      </c>
      <c r="E425">
        <v>0.05</v>
      </c>
      <c r="F425">
        <v>0.7</v>
      </c>
      <c r="G425">
        <v>6.05</v>
      </c>
      <c r="H425">
        <v>0.71109999999999995</v>
      </c>
      <c r="I425">
        <v>136.91</v>
      </c>
    </row>
    <row r="426" spans="1:9">
      <c r="A426" t="s">
        <v>878</v>
      </c>
      <c r="B426" t="s">
        <v>791</v>
      </c>
      <c r="C426">
        <v>0.25</v>
      </c>
      <c r="D426">
        <v>0</v>
      </c>
      <c r="E426">
        <v>0.05</v>
      </c>
      <c r="F426">
        <v>0.7</v>
      </c>
      <c r="G426">
        <v>6.05</v>
      </c>
      <c r="H426">
        <v>0.71109999999999995</v>
      </c>
      <c r="I426">
        <v>115.26</v>
      </c>
    </row>
    <row r="427" spans="1:9">
      <c r="A427" t="s">
        <v>878</v>
      </c>
      <c r="B427" t="s">
        <v>792</v>
      </c>
      <c r="C427">
        <v>0.25</v>
      </c>
      <c r="D427">
        <v>0</v>
      </c>
      <c r="E427">
        <v>0.05</v>
      </c>
      <c r="F427">
        <v>0.7</v>
      </c>
      <c r="G427">
        <v>6.05</v>
      </c>
      <c r="H427">
        <v>0.71109999999999995</v>
      </c>
      <c r="I427">
        <v>100.4</v>
      </c>
    </row>
    <row r="428" spans="1:9">
      <c r="A428" t="s">
        <v>878</v>
      </c>
      <c r="B428" t="s">
        <v>793</v>
      </c>
      <c r="C428">
        <v>0.25</v>
      </c>
      <c r="D428">
        <v>0</v>
      </c>
      <c r="E428">
        <v>0.05</v>
      </c>
      <c r="F428">
        <v>0.7</v>
      </c>
      <c r="G428">
        <v>6.05</v>
      </c>
      <c r="H428">
        <v>0.71109999999999995</v>
      </c>
      <c r="I428">
        <v>91.21</v>
      </c>
    </row>
    <row r="429" spans="1:9">
      <c r="A429" t="s">
        <v>878</v>
      </c>
      <c r="B429" t="s">
        <v>794</v>
      </c>
      <c r="C429">
        <v>0.25</v>
      </c>
      <c r="D429">
        <v>0</v>
      </c>
      <c r="E429">
        <v>0.05</v>
      </c>
      <c r="F429">
        <v>0.7</v>
      </c>
      <c r="G429">
        <v>6.05</v>
      </c>
      <c r="H429">
        <v>0.71109999999999995</v>
      </c>
      <c r="I429">
        <v>89.78</v>
      </c>
    </row>
    <row r="430" spans="1:9">
      <c r="A430" t="s">
        <v>879</v>
      </c>
      <c r="B430" t="s">
        <v>790</v>
      </c>
      <c r="C430">
        <v>0.25</v>
      </c>
      <c r="D430">
        <v>0</v>
      </c>
      <c r="E430">
        <v>0.05</v>
      </c>
      <c r="F430">
        <v>0.7</v>
      </c>
      <c r="G430">
        <v>6.05</v>
      </c>
      <c r="H430">
        <v>0.71109999999999995</v>
      </c>
      <c r="I430">
        <v>132.68</v>
      </c>
    </row>
    <row r="431" spans="1:9">
      <c r="A431" t="s">
        <v>879</v>
      </c>
      <c r="B431" t="s">
        <v>791</v>
      </c>
      <c r="C431">
        <v>0.25</v>
      </c>
      <c r="D431">
        <v>0</v>
      </c>
      <c r="E431">
        <v>0.05</v>
      </c>
      <c r="F431">
        <v>0.7</v>
      </c>
      <c r="G431">
        <v>6.05</v>
      </c>
      <c r="H431">
        <v>0.71109999999999995</v>
      </c>
      <c r="I431">
        <v>111.03</v>
      </c>
    </row>
    <row r="432" spans="1:9">
      <c r="A432" t="s">
        <v>879</v>
      </c>
      <c r="B432" t="s">
        <v>792</v>
      </c>
      <c r="C432">
        <v>0.25</v>
      </c>
      <c r="D432">
        <v>0</v>
      </c>
      <c r="E432">
        <v>0.05</v>
      </c>
      <c r="F432">
        <v>0.7</v>
      </c>
      <c r="G432">
        <v>6.05</v>
      </c>
      <c r="H432">
        <v>0.71109999999999995</v>
      </c>
      <c r="I432">
        <v>96.65</v>
      </c>
    </row>
    <row r="433" spans="1:9">
      <c r="A433" t="s">
        <v>879</v>
      </c>
      <c r="B433" t="s">
        <v>793</v>
      </c>
      <c r="C433">
        <v>0.25</v>
      </c>
      <c r="D433">
        <v>0</v>
      </c>
      <c r="E433">
        <v>0.05</v>
      </c>
      <c r="F433">
        <v>0.7</v>
      </c>
      <c r="G433">
        <v>6.05</v>
      </c>
      <c r="H433">
        <v>0.71109999999999995</v>
      </c>
      <c r="I433">
        <v>87.59</v>
      </c>
    </row>
    <row r="434" spans="1:9">
      <c r="A434" t="s">
        <v>879</v>
      </c>
      <c r="B434" t="s">
        <v>794</v>
      </c>
      <c r="C434">
        <v>0.25</v>
      </c>
      <c r="D434">
        <v>0</v>
      </c>
      <c r="E434">
        <v>0.05</v>
      </c>
      <c r="F434">
        <v>0.7</v>
      </c>
      <c r="G434">
        <v>6.05</v>
      </c>
      <c r="H434">
        <v>0.71109999999999995</v>
      </c>
      <c r="I434">
        <v>86.11</v>
      </c>
    </row>
    <row r="435" spans="1:9">
      <c r="A435" t="s">
        <v>880</v>
      </c>
      <c r="B435" t="s">
        <v>790</v>
      </c>
      <c r="C435">
        <v>0.25</v>
      </c>
      <c r="D435">
        <v>0</v>
      </c>
      <c r="E435">
        <v>0.05</v>
      </c>
      <c r="F435">
        <v>0.7</v>
      </c>
      <c r="G435">
        <v>6.05</v>
      </c>
      <c r="H435">
        <v>0.71109999999999995</v>
      </c>
      <c r="I435">
        <v>136.57</v>
      </c>
    </row>
    <row r="436" spans="1:9">
      <c r="A436" t="s">
        <v>880</v>
      </c>
      <c r="B436" t="s">
        <v>791</v>
      </c>
      <c r="C436">
        <v>0.25</v>
      </c>
      <c r="D436">
        <v>0</v>
      </c>
      <c r="E436">
        <v>0.05</v>
      </c>
      <c r="F436">
        <v>0.7</v>
      </c>
      <c r="G436">
        <v>6.05</v>
      </c>
      <c r="H436">
        <v>0.71109999999999995</v>
      </c>
      <c r="I436">
        <v>114.33</v>
      </c>
    </row>
    <row r="437" spans="1:9">
      <c r="A437" t="s">
        <v>880</v>
      </c>
      <c r="B437" t="s">
        <v>792</v>
      </c>
      <c r="C437">
        <v>0.25</v>
      </c>
      <c r="D437">
        <v>0</v>
      </c>
      <c r="E437">
        <v>0.05</v>
      </c>
      <c r="F437">
        <v>0.7</v>
      </c>
      <c r="G437">
        <v>6.05</v>
      </c>
      <c r="H437">
        <v>0.71109999999999995</v>
      </c>
      <c r="I437">
        <v>99.51</v>
      </c>
    </row>
    <row r="438" spans="1:9">
      <c r="A438" t="s">
        <v>880</v>
      </c>
      <c r="B438" t="s">
        <v>793</v>
      </c>
      <c r="C438">
        <v>0.25</v>
      </c>
      <c r="D438">
        <v>0</v>
      </c>
      <c r="E438">
        <v>0.05</v>
      </c>
      <c r="F438">
        <v>0.7</v>
      </c>
      <c r="G438">
        <v>6.05</v>
      </c>
      <c r="H438">
        <v>0.71109999999999995</v>
      </c>
      <c r="I438">
        <v>90.27</v>
      </c>
    </row>
    <row r="439" spans="1:9">
      <c r="A439" t="s">
        <v>880</v>
      </c>
      <c r="B439" t="s">
        <v>794</v>
      </c>
      <c r="C439">
        <v>0.25</v>
      </c>
      <c r="D439">
        <v>0</v>
      </c>
      <c r="E439">
        <v>0.05</v>
      </c>
      <c r="F439">
        <v>0.7</v>
      </c>
      <c r="G439">
        <v>6.05</v>
      </c>
      <c r="H439">
        <v>0.71109999999999995</v>
      </c>
      <c r="I439">
        <v>88.78</v>
      </c>
    </row>
    <row r="440" spans="1:9">
      <c r="A440" t="s">
        <v>881</v>
      </c>
      <c r="B440" t="s">
        <v>790</v>
      </c>
      <c r="C440">
        <v>0.25</v>
      </c>
      <c r="D440">
        <v>0</v>
      </c>
      <c r="E440">
        <v>0.05</v>
      </c>
      <c r="F440">
        <v>0.7</v>
      </c>
      <c r="G440">
        <v>6.05</v>
      </c>
      <c r="H440">
        <v>0.71109999999999995</v>
      </c>
      <c r="I440">
        <v>140.58000000000001</v>
      </c>
    </row>
    <row r="441" spans="1:9">
      <c r="A441" t="s">
        <v>881</v>
      </c>
      <c r="B441" t="s">
        <v>791</v>
      </c>
      <c r="C441">
        <v>0.25</v>
      </c>
      <c r="D441">
        <v>0</v>
      </c>
      <c r="E441">
        <v>0.05</v>
      </c>
      <c r="F441">
        <v>0.7</v>
      </c>
      <c r="G441">
        <v>6.05</v>
      </c>
      <c r="H441">
        <v>0.71109999999999995</v>
      </c>
      <c r="I441">
        <v>117.73</v>
      </c>
    </row>
    <row r="442" spans="1:9">
      <c r="A442" t="s">
        <v>881</v>
      </c>
      <c r="B442" t="s">
        <v>792</v>
      </c>
      <c r="C442">
        <v>0.25</v>
      </c>
      <c r="D442">
        <v>0</v>
      </c>
      <c r="E442">
        <v>0.05</v>
      </c>
      <c r="F442">
        <v>0.7</v>
      </c>
      <c r="G442">
        <v>6.05</v>
      </c>
      <c r="H442">
        <v>0.71109999999999995</v>
      </c>
      <c r="I442">
        <v>102.46</v>
      </c>
    </row>
    <row r="443" spans="1:9">
      <c r="A443" t="s">
        <v>881</v>
      </c>
      <c r="B443" t="s">
        <v>793</v>
      </c>
      <c r="C443">
        <v>0.25</v>
      </c>
      <c r="D443">
        <v>0</v>
      </c>
      <c r="E443">
        <v>0.05</v>
      </c>
      <c r="F443">
        <v>0.7</v>
      </c>
      <c r="G443">
        <v>6.05</v>
      </c>
      <c r="H443">
        <v>0.71109999999999995</v>
      </c>
      <c r="I443">
        <v>93.05</v>
      </c>
    </row>
    <row r="444" spans="1:9">
      <c r="A444" t="s">
        <v>881</v>
      </c>
      <c r="B444" t="s">
        <v>794</v>
      </c>
      <c r="C444">
        <v>0.25</v>
      </c>
      <c r="D444">
        <v>0</v>
      </c>
      <c r="E444">
        <v>0.05</v>
      </c>
      <c r="F444">
        <v>0.7</v>
      </c>
      <c r="G444">
        <v>6.05</v>
      </c>
      <c r="H444">
        <v>0.71109999999999995</v>
      </c>
      <c r="I444">
        <v>91.54</v>
      </c>
    </row>
    <row r="445" spans="1:9">
      <c r="A445" t="s">
        <v>882</v>
      </c>
      <c r="B445" t="s">
        <v>790</v>
      </c>
      <c r="C445">
        <v>0.25</v>
      </c>
      <c r="D445">
        <v>0</v>
      </c>
      <c r="E445">
        <v>0.05</v>
      </c>
      <c r="F445">
        <v>0.7</v>
      </c>
      <c r="G445">
        <v>6.05</v>
      </c>
      <c r="H445">
        <v>0.71109999999999995</v>
      </c>
      <c r="I445">
        <v>127.71</v>
      </c>
    </row>
    <row r="446" spans="1:9">
      <c r="A446" t="s">
        <v>882</v>
      </c>
      <c r="B446" t="s">
        <v>791</v>
      </c>
      <c r="C446">
        <v>0.25</v>
      </c>
      <c r="D446">
        <v>0</v>
      </c>
      <c r="E446">
        <v>0.05</v>
      </c>
      <c r="F446">
        <v>0.7</v>
      </c>
      <c r="G446">
        <v>6.05</v>
      </c>
      <c r="H446">
        <v>0.71109999999999995</v>
      </c>
      <c r="I446">
        <v>108.29</v>
      </c>
    </row>
    <row r="447" spans="1:9">
      <c r="A447" t="s">
        <v>882</v>
      </c>
      <c r="B447" t="s">
        <v>792</v>
      </c>
      <c r="C447">
        <v>0.25</v>
      </c>
      <c r="D447">
        <v>0</v>
      </c>
      <c r="E447">
        <v>0.05</v>
      </c>
      <c r="F447">
        <v>0.7</v>
      </c>
      <c r="G447">
        <v>6.05</v>
      </c>
      <c r="H447">
        <v>0.71109999999999995</v>
      </c>
      <c r="I447">
        <v>94.45</v>
      </c>
    </row>
    <row r="448" spans="1:9">
      <c r="A448" t="s">
        <v>882</v>
      </c>
      <c r="B448" t="s">
        <v>793</v>
      </c>
      <c r="C448">
        <v>0.25</v>
      </c>
      <c r="D448">
        <v>0</v>
      </c>
      <c r="E448">
        <v>0.05</v>
      </c>
      <c r="F448">
        <v>0.7</v>
      </c>
      <c r="G448">
        <v>6.05</v>
      </c>
      <c r="H448">
        <v>0.71109999999999995</v>
      </c>
      <c r="I448">
        <v>85.54</v>
      </c>
    </row>
    <row r="449" spans="1:9">
      <c r="A449" t="s">
        <v>882</v>
      </c>
      <c r="B449" t="s">
        <v>794</v>
      </c>
      <c r="C449">
        <v>0.25</v>
      </c>
      <c r="D449">
        <v>0</v>
      </c>
      <c r="E449">
        <v>0.05</v>
      </c>
      <c r="F449">
        <v>0.7</v>
      </c>
      <c r="G449">
        <v>6.05</v>
      </c>
      <c r="H449">
        <v>0.71109999999999995</v>
      </c>
      <c r="I449">
        <v>84.18</v>
      </c>
    </row>
    <row r="450" spans="1:9">
      <c r="A450" t="s">
        <v>883</v>
      </c>
      <c r="B450" t="s">
        <v>790</v>
      </c>
      <c r="C450">
        <v>0.25</v>
      </c>
      <c r="D450">
        <v>0</v>
      </c>
      <c r="E450">
        <v>0.05</v>
      </c>
      <c r="F450">
        <v>0.7</v>
      </c>
      <c r="G450">
        <v>6.05</v>
      </c>
      <c r="H450">
        <v>0.71109999999999995</v>
      </c>
      <c r="I450">
        <v>131.6</v>
      </c>
    </row>
    <row r="451" spans="1:9">
      <c r="A451" t="s">
        <v>883</v>
      </c>
      <c r="B451" t="s">
        <v>791</v>
      </c>
      <c r="C451">
        <v>0.25</v>
      </c>
      <c r="D451">
        <v>0</v>
      </c>
      <c r="E451">
        <v>0.05</v>
      </c>
      <c r="F451">
        <v>0.7</v>
      </c>
      <c r="G451">
        <v>6.05</v>
      </c>
      <c r="H451">
        <v>0.71109999999999995</v>
      </c>
      <c r="I451">
        <v>111.59</v>
      </c>
    </row>
    <row r="452" spans="1:9">
      <c r="A452" t="s">
        <v>883</v>
      </c>
      <c r="B452" t="s">
        <v>792</v>
      </c>
      <c r="C452">
        <v>0.25</v>
      </c>
      <c r="D452">
        <v>0</v>
      </c>
      <c r="E452">
        <v>0.05</v>
      </c>
      <c r="F452">
        <v>0.7</v>
      </c>
      <c r="G452">
        <v>6.05</v>
      </c>
      <c r="H452">
        <v>0.71109999999999995</v>
      </c>
      <c r="I452">
        <v>97.31</v>
      </c>
    </row>
    <row r="453" spans="1:9">
      <c r="A453" t="s">
        <v>883</v>
      </c>
      <c r="B453" t="s">
        <v>793</v>
      </c>
      <c r="C453">
        <v>0.25</v>
      </c>
      <c r="D453">
        <v>0</v>
      </c>
      <c r="E453">
        <v>0.05</v>
      </c>
      <c r="F453">
        <v>0.7</v>
      </c>
      <c r="G453">
        <v>6.05</v>
      </c>
      <c r="H453">
        <v>0.71109999999999995</v>
      </c>
      <c r="I453">
        <v>88.23</v>
      </c>
    </row>
    <row r="454" spans="1:9">
      <c r="A454" t="s">
        <v>883</v>
      </c>
      <c r="B454" t="s">
        <v>794</v>
      </c>
      <c r="C454">
        <v>0.25</v>
      </c>
      <c r="D454">
        <v>0</v>
      </c>
      <c r="E454">
        <v>0.05</v>
      </c>
      <c r="F454">
        <v>0.7</v>
      </c>
      <c r="G454">
        <v>6.05</v>
      </c>
      <c r="H454">
        <v>0.71109999999999995</v>
      </c>
      <c r="I454">
        <v>86.85</v>
      </c>
    </row>
    <row r="455" spans="1:9">
      <c r="A455" t="s">
        <v>884</v>
      </c>
      <c r="B455" t="s">
        <v>790</v>
      </c>
      <c r="C455">
        <v>0.25</v>
      </c>
      <c r="D455">
        <v>0</v>
      </c>
      <c r="E455">
        <v>0.05</v>
      </c>
      <c r="F455">
        <v>0.7</v>
      </c>
      <c r="G455">
        <v>6.05</v>
      </c>
      <c r="H455">
        <v>0.71109999999999995</v>
      </c>
      <c r="I455">
        <v>135.61000000000001</v>
      </c>
    </row>
    <row r="456" spans="1:9">
      <c r="A456" t="s">
        <v>884</v>
      </c>
      <c r="B456" t="s">
        <v>791</v>
      </c>
      <c r="C456">
        <v>0.25</v>
      </c>
      <c r="D456">
        <v>0</v>
      </c>
      <c r="E456">
        <v>0.05</v>
      </c>
      <c r="F456">
        <v>0.7</v>
      </c>
      <c r="G456">
        <v>6.05</v>
      </c>
      <c r="H456">
        <v>0.71109999999999995</v>
      </c>
      <c r="I456">
        <v>114.99</v>
      </c>
    </row>
    <row r="457" spans="1:9">
      <c r="A457" t="s">
        <v>884</v>
      </c>
      <c r="B457" t="s">
        <v>792</v>
      </c>
      <c r="C457">
        <v>0.25</v>
      </c>
      <c r="D457">
        <v>0</v>
      </c>
      <c r="E457">
        <v>0.05</v>
      </c>
      <c r="F457">
        <v>0.7</v>
      </c>
      <c r="G457">
        <v>6.05</v>
      </c>
      <c r="H457">
        <v>0.71109999999999995</v>
      </c>
      <c r="I457">
        <v>100.26</v>
      </c>
    </row>
    <row r="458" spans="1:9">
      <c r="A458" t="s">
        <v>884</v>
      </c>
      <c r="B458" t="s">
        <v>793</v>
      </c>
      <c r="C458">
        <v>0.25</v>
      </c>
      <c r="D458">
        <v>0</v>
      </c>
      <c r="E458">
        <v>0.05</v>
      </c>
      <c r="F458">
        <v>0.7</v>
      </c>
      <c r="G458">
        <v>6.05</v>
      </c>
      <c r="H458">
        <v>0.71109999999999995</v>
      </c>
      <c r="I458">
        <v>91</v>
      </c>
    </row>
    <row r="459" spans="1:9">
      <c r="A459" t="s">
        <v>884</v>
      </c>
      <c r="B459" t="s">
        <v>794</v>
      </c>
      <c r="C459">
        <v>0.25</v>
      </c>
      <c r="D459">
        <v>0</v>
      </c>
      <c r="E459">
        <v>0.05</v>
      </c>
      <c r="F459">
        <v>0.7</v>
      </c>
      <c r="G459">
        <v>6.05</v>
      </c>
      <c r="H459">
        <v>0.71109999999999995</v>
      </c>
      <c r="I459">
        <v>89.61</v>
      </c>
    </row>
    <row r="460" spans="1:9">
      <c r="A460" t="s">
        <v>885</v>
      </c>
      <c r="B460" t="s">
        <v>790</v>
      </c>
      <c r="C460">
        <v>0.25</v>
      </c>
      <c r="D460">
        <v>0</v>
      </c>
      <c r="E460">
        <v>0.05</v>
      </c>
      <c r="F460">
        <v>0.7</v>
      </c>
      <c r="G460">
        <v>6.05</v>
      </c>
      <c r="H460">
        <v>0.71109999999999995</v>
      </c>
      <c r="I460">
        <v>131.25</v>
      </c>
    </row>
    <row r="461" spans="1:9">
      <c r="A461" t="s">
        <v>885</v>
      </c>
      <c r="B461" t="s">
        <v>791</v>
      </c>
      <c r="C461">
        <v>0.25</v>
      </c>
      <c r="D461">
        <v>0</v>
      </c>
      <c r="E461">
        <v>0.05</v>
      </c>
      <c r="F461">
        <v>0.7</v>
      </c>
      <c r="G461">
        <v>6.05</v>
      </c>
      <c r="H461">
        <v>0.71109999999999995</v>
      </c>
      <c r="I461">
        <v>110.67</v>
      </c>
    </row>
    <row r="462" spans="1:9">
      <c r="A462" t="s">
        <v>885</v>
      </c>
      <c r="B462" t="s">
        <v>792</v>
      </c>
      <c r="C462">
        <v>0.25</v>
      </c>
      <c r="D462">
        <v>0</v>
      </c>
      <c r="E462">
        <v>0.05</v>
      </c>
      <c r="F462">
        <v>0.7</v>
      </c>
      <c r="G462">
        <v>6.05</v>
      </c>
      <c r="H462">
        <v>0.71109999999999995</v>
      </c>
      <c r="I462">
        <v>96.43</v>
      </c>
    </row>
    <row r="463" spans="1:9">
      <c r="A463" t="s">
        <v>885</v>
      </c>
      <c r="B463" t="s">
        <v>793</v>
      </c>
      <c r="C463">
        <v>0.25</v>
      </c>
      <c r="D463">
        <v>0</v>
      </c>
      <c r="E463">
        <v>0.05</v>
      </c>
      <c r="F463">
        <v>0.7</v>
      </c>
      <c r="G463">
        <v>6.05</v>
      </c>
      <c r="H463">
        <v>0.71109999999999995</v>
      </c>
      <c r="I463">
        <v>87.31</v>
      </c>
    </row>
    <row r="464" spans="1:9">
      <c r="A464" t="s">
        <v>885</v>
      </c>
      <c r="B464" t="s">
        <v>794</v>
      </c>
      <c r="C464">
        <v>0.25</v>
      </c>
      <c r="D464">
        <v>0</v>
      </c>
      <c r="E464">
        <v>0.05</v>
      </c>
      <c r="F464">
        <v>0.7</v>
      </c>
      <c r="G464">
        <v>6.05</v>
      </c>
      <c r="H464">
        <v>0.71109999999999995</v>
      </c>
      <c r="I464">
        <v>85.88</v>
      </c>
    </row>
    <row r="465" spans="1:9">
      <c r="A465" t="s">
        <v>886</v>
      </c>
      <c r="B465" t="s">
        <v>790</v>
      </c>
      <c r="C465">
        <v>0.25</v>
      </c>
      <c r="D465">
        <v>0</v>
      </c>
      <c r="E465">
        <v>0.05</v>
      </c>
      <c r="F465">
        <v>0.7</v>
      </c>
      <c r="G465">
        <v>6.05</v>
      </c>
      <c r="H465">
        <v>0.71109999999999995</v>
      </c>
      <c r="I465">
        <v>135.13999999999999</v>
      </c>
    </row>
    <row r="466" spans="1:9">
      <c r="A466" t="s">
        <v>886</v>
      </c>
      <c r="B466" t="s">
        <v>791</v>
      </c>
      <c r="C466">
        <v>0.25</v>
      </c>
      <c r="D466">
        <v>0</v>
      </c>
      <c r="E466">
        <v>0.05</v>
      </c>
      <c r="F466">
        <v>0.7</v>
      </c>
      <c r="G466">
        <v>6.05</v>
      </c>
      <c r="H466">
        <v>0.71109999999999995</v>
      </c>
      <c r="I466">
        <v>113.97</v>
      </c>
    </row>
    <row r="467" spans="1:9">
      <c r="A467" t="s">
        <v>886</v>
      </c>
      <c r="B467" t="s">
        <v>792</v>
      </c>
      <c r="C467">
        <v>0.25</v>
      </c>
      <c r="D467">
        <v>0</v>
      </c>
      <c r="E467">
        <v>0.05</v>
      </c>
      <c r="F467">
        <v>0.7</v>
      </c>
      <c r="G467">
        <v>6.05</v>
      </c>
      <c r="H467">
        <v>0.71109999999999995</v>
      </c>
      <c r="I467">
        <v>99.29</v>
      </c>
    </row>
    <row r="468" spans="1:9">
      <c r="A468" t="s">
        <v>886</v>
      </c>
      <c r="B468" t="s">
        <v>793</v>
      </c>
      <c r="C468">
        <v>0.25</v>
      </c>
      <c r="D468">
        <v>0</v>
      </c>
      <c r="E468">
        <v>0.05</v>
      </c>
      <c r="F468">
        <v>0.7</v>
      </c>
      <c r="G468">
        <v>6.05</v>
      </c>
      <c r="H468">
        <v>0.71109999999999995</v>
      </c>
      <c r="I468">
        <v>90</v>
      </c>
    </row>
    <row r="469" spans="1:9">
      <c r="A469" t="s">
        <v>886</v>
      </c>
      <c r="B469" t="s">
        <v>794</v>
      </c>
      <c r="C469">
        <v>0.25</v>
      </c>
      <c r="D469">
        <v>0</v>
      </c>
      <c r="E469">
        <v>0.05</v>
      </c>
      <c r="F469">
        <v>0.7</v>
      </c>
      <c r="G469">
        <v>6.05</v>
      </c>
      <c r="H469">
        <v>0.71109999999999995</v>
      </c>
      <c r="I469">
        <v>88.55</v>
      </c>
    </row>
    <row r="470" spans="1:9">
      <c r="A470" t="s">
        <v>887</v>
      </c>
      <c r="B470" t="s">
        <v>790</v>
      </c>
      <c r="C470">
        <v>0.25</v>
      </c>
      <c r="D470">
        <v>0</v>
      </c>
      <c r="E470">
        <v>0.05</v>
      </c>
      <c r="F470">
        <v>0.7</v>
      </c>
      <c r="G470">
        <v>6.05</v>
      </c>
      <c r="H470">
        <v>0.71109999999999995</v>
      </c>
      <c r="I470">
        <v>139.15</v>
      </c>
    </row>
    <row r="471" spans="1:9">
      <c r="A471" t="s">
        <v>887</v>
      </c>
      <c r="B471" t="s">
        <v>791</v>
      </c>
      <c r="C471">
        <v>0.25</v>
      </c>
      <c r="D471">
        <v>0</v>
      </c>
      <c r="E471">
        <v>0.05</v>
      </c>
      <c r="F471">
        <v>0.7</v>
      </c>
      <c r="G471">
        <v>6.05</v>
      </c>
      <c r="H471">
        <v>0.71109999999999995</v>
      </c>
      <c r="I471">
        <v>117.37</v>
      </c>
    </row>
    <row r="472" spans="1:9">
      <c r="A472" t="s">
        <v>887</v>
      </c>
      <c r="B472" t="s">
        <v>792</v>
      </c>
      <c r="C472">
        <v>0.25</v>
      </c>
      <c r="D472">
        <v>0</v>
      </c>
      <c r="E472">
        <v>0.05</v>
      </c>
      <c r="F472">
        <v>0.7</v>
      </c>
      <c r="G472">
        <v>6.05</v>
      </c>
      <c r="H472">
        <v>0.71109999999999995</v>
      </c>
      <c r="I472">
        <v>102.24</v>
      </c>
    </row>
    <row r="473" spans="1:9">
      <c r="A473" t="s">
        <v>887</v>
      </c>
      <c r="B473" t="s">
        <v>793</v>
      </c>
      <c r="C473">
        <v>0.25</v>
      </c>
      <c r="D473">
        <v>0</v>
      </c>
      <c r="E473">
        <v>0.05</v>
      </c>
      <c r="F473">
        <v>0.7</v>
      </c>
      <c r="G473">
        <v>6.05</v>
      </c>
      <c r="H473">
        <v>0.71109999999999995</v>
      </c>
      <c r="I473">
        <v>92.77</v>
      </c>
    </row>
    <row r="474" spans="1:9">
      <c r="A474" t="s">
        <v>887</v>
      </c>
      <c r="B474" t="s">
        <v>794</v>
      </c>
      <c r="C474">
        <v>0.25</v>
      </c>
      <c r="D474">
        <v>0</v>
      </c>
      <c r="E474">
        <v>0.05</v>
      </c>
      <c r="F474">
        <v>0.7</v>
      </c>
      <c r="G474">
        <v>6.05</v>
      </c>
      <c r="H474">
        <v>0.71109999999999995</v>
      </c>
      <c r="I474">
        <v>91.31</v>
      </c>
    </row>
    <row r="475" spans="1:9">
      <c r="A475" t="s">
        <v>888</v>
      </c>
      <c r="B475" t="s">
        <v>790</v>
      </c>
      <c r="C475">
        <v>0.25</v>
      </c>
      <c r="D475">
        <v>0</v>
      </c>
      <c r="E475">
        <v>0.05</v>
      </c>
      <c r="F475">
        <v>0.7</v>
      </c>
      <c r="G475">
        <v>6.05</v>
      </c>
      <c r="H475">
        <v>0.71109999999999995</v>
      </c>
      <c r="I475">
        <v>134.91999999999999</v>
      </c>
    </row>
    <row r="476" spans="1:9">
      <c r="A476" t="s">
        <v>888</v>
      </c>
      <c r="B476" t="s">
        <v>791</v>
      </c>
      <c r="C476">
        <v>0.25</v>
      </c>
      <c r="D476">
        <v>0</v>
      </c>
      <c r="E476">
        <v>0.05</v>
      </c>
      <c r="F476">
        <v>0.7</v>
      </c>
      <c r="G476">
        <v>6.05</v>
      </c>
      <c r="H476">
        <v>0.71109999999999995</v>
      </c>
      <c r="I476">
        <v>113.15</v>
      </c>
    </row>
    <row r="477" spans="1:9">
      <c r="A477" t="s">
        <v>888</v>
      </c>
      <c r="B477" t="s">
        <v>792</v>
      </c>
      <c r="C477">
        <v>0.25</v>
      </c>
      <c r="D477">
        <v>0</v>
      </c>
      <c r="E477">
        <v>0.05</v>
      </c>
      <c r="F477">
        <v>0.7</v>
      </c>
      <c r="G477">
        <v>6.05</v>
      </c>
      <c r="H477">
        <v>0.71109999999999995</v>
      </c>
      <c r="I477">
        <v>98.48</v>
      </c>
    </row>
    <row r="478" spans="1:9">
      <c r="A478" t="s">
        <v>888</v>
      </c>
      <c r="B478" t="s">
        <v>793</v>
      </c>
      <c r="C478">
        <v>0.25</v>
      </c>
      <c r="D478">
        <v>0</v>
      </c>
      <c r="E478">
        <v>0.05</v>
      </c>
      <c r="F478">
        <v>0.7</v>
      </c>
      <c r="G478">
        <v>6.05</v>
      </c>
      <c r="H478">
        <v>0.71109999999999995</v>
      </c>
      <c r="I478">
        <v>89.15</v>
      </c>
    </row>
    <row r="479" spans="1:9">
      <c r="A479" t="s">
        <v>888</v>
      </c>
      <c r="B479" t="s">
        <v>794</v>
      </c>
      <c r="C479">
        <v>0.25</v>
      </c>
      <c r="D479">
        <v>0</v>
      </c>
      <c r="E479">
        <v>0.05</v>
      </c>
      <c r="F479">
        <v>0.7</v>
      </c>
      <c r="G479">
        <v>6.05</v>
      </c>
      <c r="H479">
        <v>0.71109999999999995</v>
      </c>
      <c r="I479">
        <v>87.64</v>
      </c>
    </row>
    <row r="480" spans="1:9">
      <c r="A480" t="s">
        <v>889</v>
      </c>
      <c r="B480" t="s">
        <v>790</v>
      </c>
      <c r="C480">
        <v>0.25</v>
      </c>
      <c r="D480">
        <v>0</v>
      </c>
      <c r="E480">
        <v>0.05</v>
      </c>
      <c r="F480">
        <v>0.7</v>
      </c>
      <c r="G480">
        <v>6.05</v>
      </c>
      <c r="H480">
        <v>0.71109999999999995</v>
      </c>
      <c r="I480">
        <v>138.81</v>
      </c>
    </row>
    <row r="481" spans="1:9">
      <c r="A481" t="s">
        <v>889</v>
      </c>
      <c r="B481" t="s">
        <v>791</v>
      </c>
      <c r="C481">
        <v>0.25</v>
      </c>
      <c r="D481">
        <v>0</v>
      </c>
      <c r="E481">
        <v>0.05</v>
      </c>
      <c r="F481">
        <v>0.7</v>
      </c>
      <c r="G481">
        <v>6.05</v>
      </c>
      <c r="H481">
        <v>0.71109999999999995</v>
      </c>
      <c r="I481">
        <v>116.44</v>
      </c>
    </row>
    <row r="482" spans="1:9">
      <c r="A482" t="s">
        <v>889</v>
      </c>
      <c r="B482" t="s">
        <v>792</v>
      </c>
      <c r="C482">
        <v>0.25</v>
      </c>
      <c r="D482">
        <v>0</v>
      </c>
      <c r="E482">
        <v>0.05</v>
      </c>
      <c r="F482">
        <v>0.7</v>
      </c>
      <c r="G482">
        <v>6.05</v>
      </c>
      <c r="H482">
        <v>0.71109999999999995</v>
      </c>
      <c r="I482">
        <v>101.34</v>
      </c>
    </row>
    <row r="483" spans="1:9">
      <c r="A483" t="s">
        <v>889</v>
      </c>
      <c r="B483" t="s">
        <v>793</v>
      </c>
      <c r="C483">
        <v>0.25</v>
      </c>
      <c r="D483">
        <v>0</v>
      </c>
      <c r="E483">
        <v>0.05</v>
      </c>
      <c r="F483">
        <v>0.7</v>
      </c>
      <c r="G483">
        <v>6.05</v>
      </c>
      <c r="H483">
        <v>0.71109999999999995</v>
      </c>
      <c r="I483">
        <v>91.83</v>
      </c>
    </row>
    <row r="484" spans="1:9">
      <c r="A484" t="s">
        <v>889</v>
      </c>
      <c r="B484" t="s">
        <v>794</v>
      </c>
      <c r="C484">
        <v>0.25</v>
      </c>
      <c r="D484">
        <v>0</v>
      </c>
      <c r="E484">
        <v>0.05</v>
      </c>
      <c r="F484">
        <v>0.7</v>
      </c>
      <c r="G484">
        <v>6.05</v>
      </c>
      <c r="H484">
        <v>0.71109999999999995</v>
      </c>
      <c r="I484">
        <v>90.31</v>
      </c>
    </row>
    <row r="485" spans="1:9">
      <c r="A485" t="s">
        <v>890</v>
      </c>
      <c r="B485" t="s">
        <v>790</v>
      </c>
      <c r="C485">
        <v>0.25</v>
      </c>
      <c r="D485">
        <v>0</v>
      </c>
      <c r="E485">
        <v>0.05</v>
      </c>
      <c r="F485">
        <v>0.7</v>
      </c>
      <c r="G485">
        <v>6.05</v>
      </c>
      <c r="H485">
        <v>0.71109999999999995</v>
      </c>
      <c r="I485">
        <v>142.82</v>
      </c>
    </row>
    <row r="486" spans="1:9">
      <c r="A486" t="s">
        <v>890</v>
      </c>
      <c r="B486" t="s">
        <v>791</v>
      </c>
      <c r="C486">
        <v>0.25</v>
      </c>
      <c r="D486">
        <v>0</v>
      </c>
      <c r="E486">
        <v>0.05</v>
      </c>
      <c r="F486">
        <v>0.7</v>
      </c>
      <c r="G486">
        <v>6.05</v>
      </c>
      <c r="H486">
        <v>0.71109999999999995</v>
      </c>
      <c r="I486">
        <v>119.85</v>
      </c>
    </row>
    <row r="487" spans="1:9">
      <c r="A487" t="s">
        <v>890</v>
      </c>
      <c r="B487" t="s">
        <v>792</v>
      </c>
      <c r="C487">
        <v>0.25</v>
      </c>
      <c r="D487">
        <v>0</v>
      </c>
      <c r="E487">
        <v>0.05</v>
      </c>
      <c r="F487">
        <v>0.7</v>
      </c>
      <c r="G487">
        <v>6.05</v>
      </c>
      <c r="H487">
        <v>0.71109999999999995</v>
      </c>
      <c r="I487">
        <v>104.29</v>
      </c>
    </row>
    <row r="488" spans="1:9">
      <c r="A488" t="s">
        <v>890</v>
      </c>
      <c r="B488" t="s">
        <v>793</v>
      </c>
      <c r="C488">
        <v>0.25</v>
      </c>
      <c r="D488">
        <v>0</v>
      </c>
      <c r="E488">
        <v>0.05</v>
      </c>
      <c r="F488">
        <v>0.7</v>
      </c>
      <c r="G488">
        <v>6.05</v>
      </c>
      <c r="H488">
        <v>0.71109999999999995</v>
      </c>
      <c r="I488">
        <v>94.61</v>
      </c>
    </row>
    <row r="489" spans="1:9">
      <c r="A489" t="s">
        <v>890</v>
      </c>
      <c r="B489" t="s">
        <v>794</v>
      </c>
      <c r="C489">
        <v>0.25</v>
      </c>
      <c r="D489">
        <v>0</v>
      </c>
      <c r="E489">
        <v>0.05</v>
      </c>
      <c r="F489">
        <v>0.7</v>
      </c>
      <c r="G489">
        <v>6.05</v>
      </c>
      <c r="H489">
        <v>0.71109999999999995</v>
      </c>
      <c r="I489">
        <v>93.07</v>
      </c>
    </row>
  </sheetData>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1"/>
  <sheetViews>
    <sheetView workbookViewId="0">
      <selection activeCell="C16" sqref="C16"/>
    </sheetView>
  </sheetViews>
  <sheetFormatPr defaultRowHeight="15"/>
  <cols>
    <col min="1" max="1" width="12" customWidth="1"/>
    <col min="2" max="2" width="20" customWidth="1"/>
    <col min="3" max="3" width="25" customWidth="1"/>
    <col min="4" max="5" width="35" customWidth="1"/>
    <col min="6" max="6" width="40" customWidth="1"/>
  </cols>
  <sheetData>
    <row r="1" spans="1:6" ht="18" customHeight="1">
      <c r="A1" s="42" t="s">
        <v>891</v>
      </c>
    </row>
    <row r="2" spans="1:6">
      <c r="A2" t="s">
        <v>892</v>
      </c>
    </row>
    <row r="4" spans="1:6">
      <c r="A4" s="40" t="s">
        <v>893</v>
      </c>
      <c r="B4" s="40" t="s">
        <v>894</v>
      </c>
      <c r="C4" s="40" t="s">
        <v>895</v>
      </c>
      <c r="D4" s="40" t="s">
        <v>896</v>
      </c>
      <c r="E4" s="40" t="s">
        <v>897</v>
      </c>
      <c r="F4" s="40" t="s">
        <v>898</v>
      </c>
    </row>
    <row r="5" spans="1:6">
      <c r="A5" t="s">
        <v>899</v>
      </c>
      <c r="B5" t="s">
        <v>900</v>
      </c>
      <c r="C5" t="s">
        <v>901</v>
      </c>
      <c r="D5" t="s">
        <v>902</v>
      </c>
      <c r="E5">
        <f>'Building assets'!B71</f>
        <v>28.709999999999994</v>
      </c>
      <c r="F5" t="s">
        <v>903</v>
      </c>
    </row>
    <row r="6" spans="1:6">
      <c r="A6" t="s">
        <v>899</v>
      </c>
      <c r="B6" t="s">
        <v>900</v>
      </c>
      <c r="C6" t="s">
        <v>904</v>
      </c>
      <c r="D6" t="s">
        <v>905</v>
      </c>
      <c r="E6" t="s">
        <v>906</v>
      </c>
      <c r="F6" t="s">
        <v>907</v>
      </c>
    </row>
    <row r="7" spans="1:6">
      <c r="A7" t="s">
        <v>899</v>
      </c>
      <c r="B7" t="s">
        <v>900</v>
      </c>
      <c r="C7" t="s">
        <v>908</v>
      </c>
      <c r="D7" t="s">
        <v>909</v>
      </c>
      <c r="E7" t="s">
        <v>910</v>
      </c>
      <c r="F7" t="s">
        <v>911</v>
      </c>
    </row>
    <row r="8" spans="1:6">
      <c r="A8" t="s">
        <v>899</v>
      </c>
      <c r="B8" t="s">
        <v>900</v>
      </c>
      <c r="C8" t="s">
        <v>912</v>
      </c>
      <c r="D8" t="s">
        <v>913</v>
      </c>
      <c r="E8" t="s">
        <v>914</v>
      </c>
      <c r="F8" t="s">
        <v>915</v>
      </c>
    </row>
    <row r="9" spans="1:6">
      <c r="A9" t="s">
        <v>899</v>
      </c>
      <c r="B9" t="s">
        <v>916</v>
      </c>
      <c r="C9" t="s">
        <v>917</v>
      </c>
      <c r="D9" t="s">
        <v>906</v>
      </c>
      <c r="E9" t="s">
        <v>918</v>
      </c>
      <c r="F9" t="s">
        <v>919</v>
      </c>
    </row>
    <row r="10" spans="1:6">
      <c r="A10" t="s">
        <v>899</v>
      </c>
      <c r="B10" t="s">
        <v>916</v>
      </c>
      <c r="C10" t="s">
        <v>920</v>
      </c>
      <c r="D10" t="s">
        <v>921</v>
      </c>
      <c r="E10" t="s">
        <v>787</v>
      </c>
      <c r="F10" t="s">
        <v>922</v>
      </c>
    </row>
    <row r="11" spans="1:6">
      <c r="A11" t="s">
        <v>899</v>
      </c>
      <c r="B11" t="s">
        <v>923</v>
      </c>
      <c r="C11" t="s">
        <v>924</v>
      </c>
      <c r="F11" t="s">
        <v>925</v>
      </c>
    </row>
    <row r="12" spans="1:6">
      <c r="A12" t="s">
        <v>926</v>
      </c>
      <c r="B12" t="s">
        <v>900</v>
      </c>
      <c r="C12" t="s">
        <v>927</v>
      </c>
      <c r="D12" t="s">
        <v>913</v>
      </c>
      <c r="E12" t="s">
        <v>928</v>
      </c>
      <c r="F12" t="s">
        <v>929</v>
      </c>
    </row>
    <row r="13" spans="1:6">
      <c r="A13" t="s">
        <v>926</v>
      </c>
      <c r="B13" t="s">
        <v>900</v>
      </c>
      <c r="C13" t="s">
        <v>930</v>
      </c>
      <c r="D13" t="s">
        <v>913</v>
      </c>
      <c r="E13" t="s">
        <v>931</v>
      </c>
      <c r="F13" t="s">
        <v>932</v>
      </c>
    </row>
    <row r="14" spans="1:6">
      <c r="A14" t="s">
        <v>933</v>
      </c>
      <c r="B14" t="s">
        <v>916</v>
      </c>
      <c r="C14" t="s">
        <v>934</v>
      </c>
      <c r="D14" t="s">
        <v>935</v>
      </c>
      <c r="E14">
        <f>VRE_Ratio</f>
        <v>3</v>
      </c>
      <c r="F14" t="s">
        <v>936</v>
      </c>
    </row>
    <row r="15" spans="1:6">
      <c r="A15" t="s">
        <v>933</v>
      </c>
      <c r="B15" t="s">
        <v>916</v>
      </c>
      <c r="C15" t="s">
        <v>937</v>
      </c>
      <c r="D15" t="s">
        <v>938</v>
      </c>
      <c r="E15" t="s">
        <v>939</v>
      </c>
      <c r="F15" t="s">
        <v>940</v>
      </c>
    </row>
    <row r="16" spans="1:6">
      <c r="A16" t="s">
        <v>933</v>
      </c>
      <c r="B16" t="s">
        <v>916</v>
      </c>
      <c r="C16" t="s">
        <v>941</v>
      </c>
      <c r="D16" t="s">
        <v>942</v>
      </c>
      <c r="E16" t="s">
        <v>943</v>
      </c>
      <c r="F16" t="s">
        <v>944</v>
      </c>
    </row>
    <row r="17" spans="1:6">
      <c r="A17" t="s">
        <v>933</v>
      </c>
      <c r="B17" t="s">
        <v>916</v>
      </c>
      <c r="C17" t="s">
        <v>945</v>
      </c>
      <c r="D17" t="s">
        <v>938</v>
      </c>
      <c r="E17" t="s">
        <v>946</v>
      </c>
      <c r="F17" t="s">
        <v>947</v>
      </c>
    </row>
    <row r="18" spans="1:6">
      <c r="A18" t="s">
        <v>933</v>
      </c>
      <c r="B18" t="s">
        <v>916</v>
      </c>
      <c r="C18" t="s">
        <v>948</v>
      </c>
      <c r="D18" t="s">
        <v>949</v>
      </c>
      <c r="E18" t="s">
        <v>950</v>
      </c>
      <c r="F18" t="s">
        <v>951</v>
      </c>
    </row>
    <row r="19" spans="1:6">
      <c r="A19" t="s">
        <v>933</v>
      </c>
      <c r="B19" t="s">
        <v>916</v>
      </c>
      <c r="C19" t="s">
        <v>952</v>
      </c>
      <c r="D19" t="s">
        <v>938</v>
      </c>
      <c r="E19" t="s">
        <v>946</v>
      </c>
      <c r="F19" t="s">
        <v>953</v>
      </c>
    </row>
    <row r="20" spans="1:6">
      <c r="A20" t="s">
        <v>933</v>
      </c>
      <c r="B20" t="s">
        <v>916</v>
      </c>
      <c r="C20" t="s">
        <v>954</v>
      </c>
      <c r="D20" t="s">
        <v>955</v>
      </c>
      <c r="E20" t="e">
        <f>CF_Solar (named range)</f>
        <v>#NAME?</v>
      </c>
      <c r="F20" t="s">
        <v>956</v>
      </c>
    </row>
    <row r="21" spans="1:6">
      <c r="A21" t="s">
        <v>933</v>
      </c>
      <c r="B21" t="s">
        <v>916</v>
      </c>
      <c r="C21" t="s">
        <v>957</v>
      </c>
      <c r="D21" t="s">
        <v>958</v>
      </c>
      <c r="E21" t="e">
        <f>CF_Wind (named range)</f>
        <v>#NAME?</v>
      </c>
      <c r="F21" t="s">
        <v>956</v>
      </c>
    </row>
    <row r="22" spans="1:6">
      <c r="A22" t="s">
        <v>933</v>
      </c>
      <c r="B22" t="s">
        <v>916</v>
      </c>
      <c r="C22" t="s">
        <v>959</v>
      </c>
      <c r="D22">
        <f>2/3*B67+1/3*B68</f>
        <v>0</v>
      </c>
      <c r="E22">
        <f>Alpha_Solar*B67+Alpha_Wind*B68</f>
        <v>0</v>
      </c>
      <c r="F22" t="s">
        <v>960</v>
      </c>
    </row>
    <row r="23" spans="1:6">
      <c r="A23" t="s">
        <v>933</v>
      </c>
      <c r="B23" t="s">
        <v>916</v>
      </c>
      <c r="C23" t="s">
        <v>961</v>
      </c>
      <c r="D23" t="s">
        <v>962</v>
      </c>
      <c r="E23" t="e">
        <f>Battery_RTE_1h (named range)</f>
        <v>#NAME?</v>
      </c>
      <c r="F23" t="s">
        <v>963</v>
      </c>
    </row>
    <row r="24" spans="1:6">
      <c r="A24" t="s">
        <v>933</v>
      </c>
      <c r="B24" t="s">
        <v>916</v>
      </c>
      <c r="C24" t="s">
        <v>964</v>
      </c>
      <c r="D24" t="s">
        <v>965</v>
      </c>
      <c r="E24" t="e">
        <f>Drought_Gap (named range)</f>
        <v>#REF!</v>
      </c>
      <c r="F24" t="s">
        <v>963</v>
      </c>
    </row>
    <row r="25" spans="1:6">
      <c r="A25" t="s">
        <v>933</v>
      </c>
      <c r="B25" t="s">
        <v>916</v>
      </c>
      <c r="C25" t="s">
        <v>966</v>
      </c>
      <c r="D25" t="s">
        <v>967</v>
      </c>
      <c r="E25" t="e">
        <f>Direct_Flow (named range)</f>
        <v>#NAME?</v>
      </c>
      <c r="F25" t="s">
        <v>963</v>
      </c>
    </row>
    <row r="26" spans="1:6">
      <c r="A26" t="s">
        <v>933</v>
      </c>
      <c r="B26" t="s">
        <v>916</v>
      </c>
      <c r="C26" t="s">
        <v>968</v>
      </c>
      <c r="D26" t="s">
        <v>969</v>
      </c>
      <c r="E26" t="s">
        <v>970</v>
      </c>
      <c r="F26" t="s">
        <v>971</v>
      </c>
    </row>
    <row r="27" spans="1:6">
      <c r="A27" t="s">
        <v>933</v>
      </c>
      <c r="B27" t="s">
        <v>916</v>
      </c>
      <c r="C27" t="s">
        <v>972</v>
      </c>
      <c r="D27" t="s">
        <v>973</v>
      </c>
      <c r="E27" t="s">
        <v>974</v>
      </c>
      <c r="F27" t="s">
        <v>975</v>
      </c>
    </row>
    <row r="28" spans="1:6">
      <c r="A28" t="s">
        <v>933</v>
      </c>
      <c r="B28" t="s">
        <v>916</v>
      </c>
      <c r="C28" t="s">
        <v>976</v>
      </c>
      <c r="D28" t="s">
        <v>969</v>
      </c>
      <c r="E28" t="s">
        <v>977</v>
      </c>
      <c r="F28" t="s">
        <v>978</v>
      </c>
    </row>
    <row r="29" spans="1:6">
      <c r="A29" t="s">
        <v>933</v>
      </c>
      <c r="B29" t="s">
        <v>979</v>
      </c>
      <c r="C29" t="s">
        <v>980</v>
      </c>
      <c r="D29" t="s">
        <v>969</v>
      </c>
      <c r="E29" t="s">
        <v>981</v>
      </c>
      <c r="F29" t="s">
        <v>982</v>
      </c>
    </row>
    <row r="30" spans="1:6">
      <c r="A30" t="s">
        <v>933</v>
      </c>
      <c r="B30" t="s">
        <v>983</v>
      </c>
      <c r="C30" t="s">
        <v>980</v>
      </c>
      <c r="D30" t="s">
        <v>969</v>
      </c>
      <c r="E30" t="s">
        <v>984</v>
      </c>
      <c r="F30" t="s">
        <v>985</v>
      </c>
    </row>
    <row r="31" spans="1:6">
      <c r="A31" t="s">
        <v>933</v>
      </c>
      <c r="B31" t="s">
        <v>986</v>
      </c>
      <c r="C31" t="s">
        <v>980</v>
      </c>
      <c r="D31" t="s">
        <v>969</v>
      </c>
      <c r="E31" t="s">
        <v>987</v>
      </c>
      <c r="F31" t="s">
        <v>985</v>
      </c>
    </row>
  </sheetData>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22"/>
  <sheetViews>
    <sheetView topLeftCell="A13" workbookViewId="0">
      <selection activeCell="A30" sqref="A30"/>
    </sheetView>
  </sheetViews>
  <sheetFormatPr defaultRowHeight="15"/>
  <cols>
    <col min="1" max="1" width="110" customWidth="1"/>
  </cols>
  <sheetData>
    <row r="1" spans="1:1" ht="30" customHeight="1">
      <c r="A1" s="43" t="s">
        <v>988</v>
      </c>
    </row>
    <row r="2" spans="1:1" ht="15" customHeight="1">
      <c r="A2" s="44"/>
    </row>
    <row r="3" spans="1:1" ht="30" customHeight="1">
      <c r="A3" s="45" t="s">
        <v>989</v>
      </c>
    </row>
    <row r="4" spans="1:1" ht="45" customHeight="1">
      <c r="A4" s="44" t="s">
        <v>990</v>
      </c>
    </row>
    <row r="5" spans="1:1" ht="15" customHeight="1">
      <c r="A5" s="44"/>
    </row>
    <row r="6" spans="1:1" ht="30" customHeight="1">
      <c r="A6" s="45" t="s">
        <v>991</v>
      </c>
    </row>
    <row r="7" spans="1:1" ht="60" customHeight="1">
      <c r="A7" s="44" t="s">
        <v>992</v>
      </c>
    </row>
    <row r="8" spans="1:1" ht="15" customHeight="1">
      <c r="A8" s="44"/>
    </row>
    <row r="9" spans="1:1" ht="30" customHeight="1">
      <c r="A9" s="45" t="s">
        <v>993</v>
      </c>
    </row>
    <row r="10" spans="1:1" ht="60" customHeight="1">
      <c r="A10" s="44" t="s">
        <v>994</v>
      </c>
    </row>
    <row r="11" spans="1:1" ht="15" customHeight="1">
      <c r="A11" s="44"/>
    </row>
    <row r="12" spans="1:1" ht="30" customHeight="1">
      <c r="A12" s="45" t="s">
        <v>995</v>
      </c>
    </row>
    <row r="13" spans="1:1" ht="90" customHeight="1">
      <c r="A13" s="44" t="s">
        <v>996</v>
      </c>
    </row>
    <row r="14" spans="1:1" ht="15" customHeight="1">
      <c r="A14" s="44"/>
    </row>
    <row r="15" spans="1:1" ht="30" customHeight="1">
      <c r="A15" s="45" t="s">
        <v>997</v>
      </c>
    </row>
    <row r="16" spans="1:1" ht="105" customHeight="1">
      <c r="A16" s="44" t="s">
        <v>998</v>
      </c>
    </row>
    <row r="17" spans="1:1" ht="15" customHeight="1">
      <c r="A17" s="44"/>
    </row>
    <row r="18" spans="1:1" ht="30" customHeight="1">
      <c r="A18" s="45" t="s">
        <v>999</v>
      </c>
    </row>
    <row r="19" spans="1:1" ht="75" customHeight="1">
      <c r="A19" s="44" t="s">
        <v>1000</v>
      </c>
    </row>
    <row r="20" spans="1:1" ht="15" customHeight="1">
      <c r="A20" s="44"/>
    </row>
    <row r="21" spans="1:1" ht="30" customHeight="1">
      <c r="A21" s="45" t="s">
        <v>1001</v>
      </c>
    </row>
    <row r="22" spans="1:1" ht="30" customHeight="1">
      <c r="A22" s="44" t="s">
        <v>1002</v>
      </c>
    </row>
  </sheetData>
  <pageMargins left="0.75" right="0.75" top="1" bottom="1" header="0.5" footer="0.5"/>
  <headerFooter>
    <oddHeader>&amp;C&amp;"Aptos"&amp;12&amp;KFF0000 OFFICIAL&amp;1#_x000D_&amp;"Calibri"&amp;11&amp;K000000&amp;"Calibri"&amp;11&amp;K000000&amp;"Calibri"&amp;11&amp;K000000&amp;"Calibri"&amp;11&amp;K000000&amp;"Calibri"&amp;11&amp;K000000&amp;"Calibri"&amp;11&amp;K000000&amp;"Calibri"&amp;11&amp;K000000&amp;"Aptos"&amp;1 &amp;KFF0000 OFFICIAL#_x000D_</oddHeader>
    <oddFooter>&amp;C&amp;"Aptos"&amp;12 &amp;KFF0000_x000D_# OFFICIAL_x000D_&amp;1#&amp;"Aptos"&amp;12&amp;KFF0000 OFFICIAL</oddFooter>
  </headerFooter>
</worksheet>
</file>

<file path=docMetadata/LabelInfo.xml><?xml version="1.0" encoding="utf-8"?>
<clbl:labelList xmlns:clbl="http://schemas.microsoft.com/office/2020/mipLabelMetadata">
  <clbl:label id="{2e6ba7ff-9897-4e65-9803-3be34fd9cf5a}" enabled="1" method="Privileged" siteId="{8c3c81bc-2b3c-44af-b3f7-6f620b3910ee}"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72</vt:i4>
      </vt:variant>
    </vt:vector>
  </HeadingPairs>
  <TitlesOfParts>
    <vt:vector size="83" baseType="lpstr">
      <vt:lpstr>Assumptions</vt:lpstr>
      <vt:lpstr>Building assets</vt:lpstr>
      <vt:lpstr>Baseline</vt:lpstr>
      <vt:lpstr>Model</vt:lpstr>
      <vt:lpstr>Dashboard</vt:lpstr>
      <vt:lpstr>Checks</vt:lpstr>
      <vt:lpstr>Charts</vt:lpstr>
      <vt:lpstr>Model Guide</vt:lpstr>
      <vt:lpstr>SENSITIVITY_ANALYSIS</vt:lpstr>
      <vt:lpstr>CHANGELOG</vt:lpstr>
      <vt:lpstr>METHODOLOGY_NOTE</vt:lpstr>
      <vt:lpstr>ActiveScenario</vt:lpstr>
      <vt:lpstr>Admin_Cost</vt:lpstr>
      <vt:lpstr>Alpha_Solar</vt:lpstr>
      <vt:lpstr>Alpha_Wind</vt:lpstr>
      <vt:lpstr>Batt_w1h</vt:lpstr>
      <vt:lpstr>Batt_w2h</vt:lpstr>
      <vt:lpstr>Batt_w4h</vt:lpstr>
      <vt:lpstr>Batt_w8h</vt:lpstr>
      <vt:lpstr>Batt_WACC</vt:lpstr>
      <vt:lpstr>Battery_RTE</vt:lpstr>
      <vt:lpstr>CF_Solar</vt:lpstr>
      <vt:lpstr>CF_Wind</vt:lpstr>
      <vt:lpstr>Coal_Accel</vt:lpstr>
      <vt:lpstr>Coal_CFe</vt:lpstr>
      <vt:lpstr>Coal_CFp</vt:lpstr>
      <vt:lpstr>Coal_Degrade</vt:lpstr>
      <vt:lpstr>Coal_Esc</vt:lpstr>
      <vt:lpstr>Coal_FOM</vt:lpstr>
      <vt:lpstr>Coal_Heat_Rate</vt:lpstr>
      <vt:lpstr>Coal_Price</vt:lpstr>
      <vt:lpstr>Coal_SRMC</vt:lpstr>
      <vt:lpstr>Coal_Start</vt:lpstr>
      <vt:lpstr>Coal_VOM</vt:lpstr>
      <vt:lpstr>Contract_Years</vt:lpstr>
      <vt:lpstr>Curtail_Rate</vt:lpstr>
      <vt:lpstr>Curtail_Thresh</vt:lpstr>
      <vt:lpstr>Def_Elas</vt:lpstr>
      <vt:lpstr>Dem_Growth</vt:lpstr>
      <vt:lpstr>Dem_Start</vt:lpstr>
      <vt:lpstr>Direct_Flow</vt:lpstr>
      <vt:lpstr>Divest_Rate</vt:lpstr>
      <vt:lpstr>ELCC_base</vt:lpstr>
      <vt:lpstr>ESEM_Build_Cap</vt:lpstr>
      <vt:lpstr>ESEM_On</vt:lpstr>
      <vt:lpstr>ESEM_Start</vt:lpstr>
      <vt:lpstr>ESEM_WACC_Disc</vt:lpstr>
      <vt:lpstr>Firm_CFe</vt:lpstr>
      <vt:lpstr>Firm_CFp</vt:lpstr>
      <vt:lpstr>Firm_Cov</vt:lpstr>
      <vt:lpstr>Firm_Decay</vt:lpstr>
      <vt:lpstr>Firm_Gen_CF</vt:lpstr>
      <vt:lpstr>Firm_LRMC</vt:lpstr>
      <vt:lpstr>Firm_Sprd</vt:lpstr>
      <vt:lpstr>Firm_SRMC</vt:lpstr>
      <vt:lpstr>Firm_Start</vt:lpstr>
      <vt:lpstr>Firm_Tight</vt:lpstr>
      <vt:lpstr>Firm_VC</vt:lpstr>
      <vt:lpstr>Fwd_k</vt:lpstr>
      <vt:lpstr>Gas_WACC</vt:lpstr>
      <vt:lpstr>Lag</vt:lpstr>
      <vt:lpstr>Markup_Base</vt:lpstr>
      <vt:lpstr>Markup_Rate</vt:lpstr>
      <vt:lpstr>Other_Firm</vt:lpstr>
      <vt:lpstr>Peak_Growth</vt:lpstr>
      <vt:lpstr>Peak_Start</vt:lpstr>
      <vt:lpstr>RE_Cov</vt:lpstr>
      <vt:lpstr>Recycle_Lag</vt:lpstr>
      <vt:lpstr>Repl_Frac</vt:lpstr>
      <vt:lpstr>Repl_Year</vt:lpstr>
      <vt:lpstr>Scenario_Num</vt:lpstr>
      <vt:lpstr>Surp_Elas</vt:lpstr>
      <vt:lpstr>VRE_CFe</vt:lpstr>
      <vt:lpstr>VRE_Dep</vt:lpstr>
      <vt:lpstr>VRE_ELCC</vt:lpstr>
      <vt:lpstr>VRE_PrePipe</vt:lpstr>
      <vt:lpstr>VRE_Ratio</vt:lpstr>
      <vt:lpstr>VRE_Share0</vt:lpstr>
      <vt:lpstr>VRE_ShareT</vt:lpstr>
      <vt:lpstr>VRE_Sprd</vt:lpstr>
      <vt:lpstr>VRE_Start</vt:lpstr>
      <vt:lpstr>VRE_WACC_S</vt:lpstr>
      <vt:lpstr>VRE_WACC_W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Zach HALL</cp:lastModifiedBy>
  <cp:revision>40</cp:revision>
  <dcterms:created xsi:type="dcterms:W3CDTF">2026-04-08T05:42:44Z</dcterms:created>
  <dcterms:modified xsi:type="dcterms:W3CDTF">2026-04-29T05:43:57Z</dcterms:modified>
  <dc:language>en-US</dc:language>
</cp:coreProperties>
</file>